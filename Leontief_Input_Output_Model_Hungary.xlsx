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UND\tiss\mansi mam project\"/>
    </mc:Choice>
  </mc:AlternateContent>
  <xr:revisionPtr revIDLastSave="0" documentId="13_ncr:1_{BE2E76D2-232B-4B3A-8A1B-88369EF05C0F}" xr6:coauthVersionLast="47" xr6:coauthVersionMax="47" xr10:uidLastSave="{00000000-0000-0000-0000-000000000000}"/>
  <bookViews>
    <workbookView xWindow="-108" yWindow="-108" windowWidth="23256" windowHeight="12456" xr2:uid="{EAE70D2E-DA89-46EC-B355-50B2CEFADE8F}"/>
  </bookViews>
  <sheets>
    <sheet name="Code" sheetId="4" r:id="rId1"/>
    <sheet name="HUNGARY2008ttl" sheetId="7" r:id="rId2"/>
    <sheet name="LEONTIEF MATRIX 2008" sheetId="8" r:id="rId3"/>
    <sheet name="HUNGARY2009ttl" sheetId="1" r:id="rId4"/>
    <sheet name="Leontief matrix (2009)" sheetId="2" r:id="rId5"/>
    <sheet name=" sectoral analysis &amp; comparison" sheetId="5" r:id="rId6"/>
    <sheet name="top 5 &amp; bottom 5 industri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8" l="1"/>
  <c r="C6" i="8"/>
  <c r="D6" i="8"/>
  <c r="E6" i="8"/>
  <c r="F6" i="8"/>
  <c r="G6" i="8"/>
  <c r="H6" i="8"/>
  <c r="I6" i="8"/>
  <c r="I108" i="8" s="1"/>
  <c r="J6" i="8"/>
  <c r="K6" i="8"/>
  <c r="L6" i="8"/>
  <c r="M6" i="8"/>
  <c r="N6" i="8"/>
  <c r="O6" i="8"/>
  <c r="P6" i="8"/>
  <c r="Q6" i="8"/>
  <c r="Q108" i="8" s="1"/>
  <c r="R6" i="8"/>
  <c r="S6" i="8"/>
  <c r="T6" i="8"/>
  <c r="U6" i="8"/>
  <c r="V6" i="8"/>
  <c r="W6" i="8"/>
  <c r="X6" i="8"/>
  <c r="Y6" i="8"/>
  <c r="Y108" i="8" s="1"/>
  <c r="Z6" i="8"/>
  <c r="AA6" i="8"/>
  <c r="AB6" i="8"/>
  <c r="AC6" i="8"/>
  <c r="AD6" i="8"/>
  <c r="AE6" i="8"/>
  <c r="AF6" i="8"/>
  <c r="AG6" i="8"/>
  <c r="AG108" i="8" s="1"/>
  <c r="AH6" i="8"/>
  <c r="AI6" i="8"/>
  <c r="AJ6" i="8"/>
  <c r="AK6" i="8"/>
  <c r="AL6" i="8"/>
  <c r="AM6" i="8"/>
  <c r="AN6" i="8"/>
  <c r="AO6" i="8"/>
  <c r="AO108" i="8" s="1"/>
  <c r="AP6" i="8"/>
  <c r="AQ6" i="8"/>
  <c r="AR6" i="8"/>
  <c r="AS6" i="8"/>
  <c r="AT6" i="8"/>
  <c r="B7" i="8"/>
  <c r="C7" i="8"/>
  <c r="D7" i="8"/>
  <c r="D109" i="8" s="1"/>
  <c r="E7" i="8"/>
  <c r="F7" i="8"/>
  <c r="G7" i="8"/>
  <c r="H7" i="8"/>
  <c r="I7" i="8"/>
  <c r="J7" i="8"/>
  <c r="K7" i="8"/>
  <c r="L7" i="8"/>
  <c r="L109" i="8" s="1"/>
  <c r="M7" i="8"/>
  <c r="N7" i="8"/>
  <c r="O7" i="8"/>
  <c r="P7" i="8"/>
  <c r="Q7" i="8"/>
  <c r="R7" i="8"/>
  <c r="S7" i="8"/>
  <c r="T7" i="8"/>
  <c r="T109" i="8" s="1"/>
  <c r="U7" i="8"/>
  <c r="V7" i="8"/>
  <c r="W7" i="8"/>
  <c r="X7" i="8"/>
  <c r="Y7" i="8"/>
  <c r="Z7" i="8"/>
  <c r="AA7" i="8"/>
  <c r="AB7" i="8"/>
  <c r="AB109" i="8" s="1"/>
  <c r="AC7" i="8"/>
  <c r="AD7" i="8"/>
  <c r="AE7" i="8"/>
  <c r="AF7" i="8"/>
  <c r="AG7" i="8"/>
  <c r="AH7" i="8"/>
  <c r="AI7" i="8"/>
  <c r="AJ7" i="8"/>
  <c r="AJ109" i="8" s="1"/>
  <c r="AK7" i="8"/>
  <c r="AL7" i="8"/>
  <c r="AM7" i="8"/>
  <c r="AN7" i="8"/>
  <c r="AO7" i="8"/>
  <c r="AP7" i="8"/>
  <c r="AQ7" i="8"/>
  <c r="AR7" i="8"/>
  <c r="AR109" i="8" s="1"/>
  <c r="AS7" i="8"/>
  <c r="AT7" i="8"/>
  <c r="B8" i="8"/>
  <c r="C8" i="8"/>
  <c r="D8" i="8"/>
  <c r="E8" i="8"/>
  <c r="F8" i="8"/>
  <c r="G8" i="8"/>
  <c r="G110" i="8" s="1"/>
  <c r="H8" i="8"/>
  <c r="I8" i="8"/>
  <c r="J8" i="8"/>
  <c r="K8" i="8"/>
  <c r="L8" i="8"/>
  <c r="M8" i="8"/>
  <c r="N8" i="8"/>
  <c r="O8" i="8"/>
  <c r="O110" i="8" s="1"/>
  <c r="P8" i="8"/>
  <c r="Q8" i="8"/>
  <c r="R8" i="8"/>
  <c r="S8" i="8"/>
  <c r="T8" i="8"/>
  <c r="U8" i="8"/>
  <c r="V8" i="8"/>
  <c r="W8" i="8"/>
  <c r="W110" i="8" s="1"/>
  <c r="X8" i="8"/>
  <c r="Y8" i="8"/>
  <c r="Z8" i="8"/>
  <c r="AA8" i="8"/>
  <c r="AB8" i="8"/>
  <c r="AC8" i="8"/>
  <c r="AD8" i="8"/>
  <c r="AE8" i="8"/>
  <c r="AE110" i="8" s="1"/>
  <c r="AF8" i="8"/>
  <c r="AG8" i="8"/>
  <c r="AH8" i="8"/>
  <c r="AI8" i="8"/>
  <c r="AJ8" i="8"/>
  <c r="AK8" i="8"/>
  <c r="AL8" i="8"/>
  <c r="AM8" i="8"/>
  <c r="AM110" i="8" s="1"/>
  <c r="AN8" i="8"/>
  <c r="AO8" i="8"/>
  <c r="AP8" i="8"/>
  <c r="AQ8" i="8"/>
  <c r="AR8" i="8"/>
  <c r="AS8" i="8"/>
  <c r="AT8" i="8"/>
  <c r="B9" i="8"/>
  <c r="B111" i="8" s="1"/>
  <c r="C9" i="8"/>
  <c r="D9" i="8"/>
  <c r="E9" i="8"/>
  <c r="F9" i="8"/>
  <c r="G9" i="8"/>
  <c r="H9" i="8"/>
  <c r="I9" i="8"/>
  <c r="J9" i="8"/>
  <c r="J111" i="8" s="1"/>
  <c r="K9" i="8"/>
  <c r="L9" i="8"/>
  <c r="M9" i="8"/>
  <c r="N9" i="8"/>
  <c r="O9" i="8"/>
  <c r="P9" i="8"/>
  <c r="Q9" i="8"/>
  <c r="R9" i="8"/>
  <c r="R111" i="8" s="1"/>
  <c r="S9" i="8"/>
  <c r="T9" i="8"/>
  <c r="U9" i="8"/>
  <c r="V9" i="8"/>
  <c r="W9" i="8"/>
  <c r="X9" i="8"/>
  <c r="Y9" i="8"/>
  <c r="Z9" i="8"/>
  <c r="Z111" i="8" s="1"/>
  <c r="AA9" i="8"/>
  <c r="AB9" i="8"/>
  <c r="AC9" i="8"/>
  <c r="AD9" i="8"/>
  <c r="AE9" i="8"/>
  <c r="AF9" i="8"/>
  <c r="AG9" i="8"/>
  <c r="AH9" i="8"/>
  <c r="AH111" i="8" s="1"/>
  <c r="AI9" i="8"/>
  <c r="AJ9" i="8"/>
  <c r="AK9" i="8"/>
  <c r="AL9" i="8"/>
  <c r="AM9" i="8"/>
  <c r="AN9" i="8"/>
  <c r="AO9" i="8"/>
  <c r="AP9" i="8"/>
  <c r="AP111" i="8" s="1"/>
  <c r="AQ9" i="8"/>
  <c r="AR9" i="8"/>
  <c r="AS9" i="8"/>
  <c r="AT9" i="8"/>
  <c r="B10" i="8"/>
  <c r="C10" i="8"/>
  <c r="D10" i="8"/>
  <c r="E10" i="8"/>
  <c r="E112" i="8" s="1"/>
  <c r="F10" i="8"/>
  <c r="G10" i="8"/>
  <c r="H10" i="8"/>
  <c r="I10" i="8"/>
  <c r="J10" i="8"/>
  <c r="K10" i="8"/>
  <c r="L10" i="8"/>
  <c r="M10" i="8"/>
  <c r="M112" i="8" s="1"/>
  <c r="N10" i="8"/>
  <c r="O10" i="8"/>
  <c r="P10" i="8"/>
  <c r="Q10" i="8"/>
  <c r="R10" i="8"/>
  <c r="S10" i="8"/>
  <c r="T10" i="8"/>
  <c r="U10" i="8"/>
  <c r="U112" i="8" s="1"/>
  <c r="V10" i="8"/>
  <c r="W10" i="8"/>
  <c r="X10" i="8"/>
  <c r="Y10" i="8"/>
  <c r="Z10" i="8"/>
  <c r="AA10" i="8"/>
  <c r="AB10" i="8"/>
  <c r="AC10" i="8"/>
  <c r="AC112" i="8" s="1"/>
  <c r="AD10" i="8"/>
  <c r="AE10" i="8"/>
  <c r="AF10" i="8"/>
  <c r="AG10" i="8"/>
  <c r="AH10" i="8"/>
  <c r="AI10" i="8"/>
  <c r="AJ10" i="8"/>
  <c r="AK10" i="8"/>
  <c r="AK112" i="8" s="1"/>
  <c r="AL10" i="8"/>
  <c r="AM10" i="8"/>
  <c r="AN10" i="8"/>
  <c r="AO10" i="8"/>
  <c r="AP10" i="8"/>
  <c r="AQ10" i="8"/>
  <c r="AR10" i="8"/>
  <c r="AS10" i="8"/>
  <c r="AS112" i="8" s="1"/>
  <c r="AT10" i="8"/>
  <c r="B11" i="8"/>
  <c r="C11" i="8"/>
  <c r="D11" i="8"/>
  <c r="E11" i="8"/>
  <c r="F11" i="8"/>
  <c r="G11" i="8"/>
  <c r="H11" i="8"/>
  <c r="H113" i="8" s="1"/>
  <c r="I11" i="8"/>
  <c r="J11" i="8"/>
  <c r="K11" i="8"/>
  <c r="L11" i="8"/>
  <c r="M11" i="8"/>
  <c r="N11" i="8"/>
  <c r="O11" i="8"/>
  <c r="P11" i="8"/>
  <c r="P113" i="8" s="1"/>
  <c r="Q11" i="8"/>
  <c r="R11" i="8"/>
  <c r="S11" i="8"/>
  <c r="T11" i="8"/>
  <c r="U11" i="8"/>
  <c r="V11" i="8"/>
  <c r="W11" i="8"/>
  <c r="X11" i="8"/>
  <c r="X113" i="8" s="1"/>
  <c r="Y11" i="8"/>
  <c r="Z11" i="8"/>
  <c r="AA11" i="8"/>
  <c r="AB11" i="8"/>
  <c r="AC11" i="8"/>
  <c r="AD11" i="8"/>
  <c r="AE11" i="8"/>
  <c r="AF11" i="8"/>
  <c r="AF113" i="8" s="1"/>
  <c r="AG11" i="8"/>
  <c r="AH11" i="8"/>
  <c r="AI11" i="8"/>
  <c r="AJ11" i="8"/>
  <c r="AK11" i="8"/>
  <c r="AL11" i="8"/>
  <c r="AM11" i="8"/>
  <c r="AN11" i="8"/>
  <c r="AN113" i="8" s="1"/>
  <c r="AO11" i="8"/>
  <c r="AP11" i="8"/>
  <c r="AQ11" i="8"/>
  <c r="AR11" i="8"/>
  <c r="AS11" i="8"/>
  <c r="AT11" i="8"/>
  <c r="B12" i="8"/>
  <c r="C12" i="8"/>
  <c r="C114" i="8" s="1"/>
  <c r="D12" i="8"/>
  <c r="E12" i="8"/>
  <c r="F12" i="8"/>
  <c r="G12" i="8"/>
  <c r="H12" i="8"/>
  <c r="I12" i="8"/>
  <c r="J12" i="8"/>
  <c r="K12" i="8"/>
  <c r="K114" i="8" s="1"/>
  <c r="L12" i="8"/>
  <c r="M12" i="8"/>
  <c r="N12" i="8"/>
  <c r="O12" i="8"/>
  <c r="P12" i="8"/>
  <c r="Q12" i="8"/>
  <c r="R12" i="8"/>
  <c r="S12" i="8"/>
  <c r="S114" i="8" s="1"/>
  <c r="T12" i="8"/>
  <c r="U12" i="8"/>
  <c r="V12" i="8"/>
  <c r="W12" i="8"/>
  <c r="X12" i="8"/>
  <c r="Y12" i="8"/>
  <c r="Z12" i="8"/>
  <c r="AA12" i="8"/>
  <c r="AA114" i="8" s="1"/>
  <c r="AB12" i="8"/>
  <c r="AC12" i="8"/>
  <c r="AD12" i="8"/>
  <c r="AE12" i="8"/>
  <c r="AF12" i="8"/>
  <c r="AG12" i="8"/>
  <c r="AH12" i="8"/>
  <c r="AI12" i="8"/>
  <c r="AI114" i="8" s="1"/>
  <c r="AJ12" i="8"/>
  <c r="AK12" i="8"/>
  <c r="AL12" i="8"/>
  <c r="AM12" i="8"/>
  <c r="AN12" i="8"/>
  <c r="AO12" i="8"/>
  <c r="AP12" i="8"/>
  <c r="AQ12" i="8"/>
  <c r="AQ114" i="8" s="1"/>
  <c r="AR12" i="8"/>
  <c r="AS12" i="8"/>
  <c r="AT12" i="8"/>
  <c r="B13" i="8"/>
  <c r="C13" i="8"/>
  <c r="D13" i="8"/>
  <c r="E13" i="8"/>
  <c r="F13" i="8"/>
  <c r="F115" i="8" s="1"/>
  <c r="G13" i="8"/>
  <c r="H13" i="8"/>
  <c r="I13" i="8"/>
  <c r="J13" i="8"/>
  <c r="K13" i="8"/>
  <c r="L13" i="8"/>
  <c r="M13" i="8"/>
  <c r="N13" i="8"/>
  <c r="N115" i="8" s="1"/>
  <c r="O13" i="8"/>
  <c r="P13" i="8"/>
  <c r="Q13" i="8"/>
  <c r="R13" i="8"/>
  <c r="S13" i="8"/>
  <c r="T13" i="8"/>
  <c r="U13" i="8"/>
  <c r="V13" i="8"/>
  <c r="V115" i="8" s="1"/>
  <c r="W13" i="8"/>
  <c r="X13" i="8"/>
  <c r="Y13" i="8"/>
  <c r="Z13" i="8"/>
  <c r="AA13" i="8"/>
  <c r="AB13" i="8"/>
  <c r="AC13" i="8"/>
  <c r="AD13" i="8"/>
  <c r="AD115" i="8" s="1"/>
  <c r="AE13" i="8"/>
  <c r="AF13" i="8"/>
  <c r="AG13" i="8"/>
  <c r="AH13" i="8"/>
  <c r="AI13" i="8"/>
  <c r="AJ13" i="8"/>
  <c r="AK13" i="8"/>
  <c r="AL13" i="8"/>
  <c r="AL115" i="8" s="1"/>
  <c r="AM13" i="8"/>
  <c r="AN13" i="8"/>
  <c r="AO13" i="8"/>
  <c r="AP13" i="8"/>
  <c r="AQ13" i="8"/>
  <c r="AR13" i="8"/>
  <c r="AS13" i="8"/>
  <c r="AT13" i="8"/>
  <c r="AT115" i="8" s="1"/>
  <c r="B14" i="8"/>
  <c r="C14" i="8"/>
  <c r="D14" i="8"/>
  <c r="E14" i="8"/>
  <c r="F14" i="8"/>
  <c r="G14" i="8"/>
  <c r="H14" i="8"/>
  <c r="I14" i="8"/>
  <c r="I116" i="8" s="1"/>
  <c r="J14" i="8"/>
  <c r="K14" i="8"/>
  <c r="L14" i="8"/>
  <c r="M14" i="8"/>
  <c r="N14" i="8"/>
  <c r="O14" i="8"/>
  <c r="P14" i="8"/>
  <c r="Q14" i="8"/>
  <c r="Q116" i="8" s="1"/>
  <c r="R14" i="8"/>
  <c r="S14" i="8"/>
  <c r="T14" i="8"/>
  <c r="U14" i="8"/>
  <c r="V14" i="8"/>
  <c r="W14" i="8"/>
  <c r="X14" i="8"/>
  <c r="Y14" i="8"/>
  <c r="Y116" i="8" s="1"/>
  <c r="Z14" i="8"/>
  <c r="AA14" i="8"/>
  <c r="AB14" i="8"/>
  <c r="AC14" i="8"/>
  <c r="AD14" i="8"/>
  <c r="AE14" i="8"/>
  <c r="AF14" i="8"/>
  <c r="AG14" i="8"/>
  <c r="AG116" i="8" s="1"/>
  <c r="AH14" i="8"/>
  <c r="AI14" i="8"/>
  <c r="AJ14" i="8"/>
  <c r="AK14" i="8"/>
  <c r="AL14" i="8"/>
  <c r="AM14" i="8"/>
  <c r="AN14" i="8"/>
  <c r="AO14" i="8"/>
  <c r="AO116" i="8" s="1"/>
  <c r="AP14" i="8"/>
  <c r="AQ14" i="8"/>
  <c r="AR14" i="8"/>
  <c r="AS14" i="8"/>
  <c r="AT14" i="8"/>
  <c r="B15" i="8"/>
  <c r="C15" i="8"/>
  <c r="D15" i="8"/>
  <c r="D117" i="8" s="1"/>
  <c r="E15" i="8"/>
  <c r="F15" i="8"/>
  <c r="G15" i="8"/>
  <c r="H15" i="8"/>
  <c r="I15" i="8"/>
  <c r="J15" i="8"/>
  <c r="K15" i="8"/>
  <c r="L15" i="8"/>
  <c r="L117" i="8" s="1"/>
  <c r="M15" i="8"/>
  <c r="N15" i="8"/>
  <c r="O15" i="8"/>
  <c r="P15" i="8"/>
  <c r="Q15" i="8"/>
  <c r="R15" i="8"/>
  <c r="S15" i="8"/>
  <c r="T15" i="8"/>
  <c r="T117" i="8" s="1"/>
  <c r="U15" i="8"/>
  <c r="V15" i="8"/>
  <c r="W15" i="8"/>
  <c r="X15" i="8"/>
  <c r="Y15" i="8"/>
  <c r="Z15" i="8"/>
  <c r="AA15" i="8"/>
  <c r="AB15" i="8"/>
  <c r="AB117" i="8" s="1"/>
  <c r="AC15" i="8"/>
  <c r="AD15" i="8"/>
  <c r="AE15" i="8"/>
  <c r="AF15" i="8"/>
  <c r="AG15" i="8"/>
  <c r="AH15" i="8"/>
  <c r="AI15" i="8"/>
  <c r="AJ15" i="8"/>
  <c r="AJ117" i="8" s="1"/>
  <c r="AK15" i="8"/>
  <c r="AL15" i="8"/>
  <c r="AM15" i="8"/>
  <c r="AN15" i="8"/>
  <c r="AO15" i="8"/>
  <c r="AP15" i="8"/>
  <c r="AQ15" i="8"/>
  <c r="AR15" i="8"/>
  <c r="AR117" i="8" s="1"/>
  <c r="AS15" i="8"/>
  <c r="AT15" i="8"/>
  <c r="B16" i="8"/>
  <c r="C16" i="8"/>
  <c r="D16" i="8"/>
  <c r="E16" i="8"/>
  <c r="F16" i="8"/>
  <c r="G16" i="8"/>
  <c r="G118" i="8" s="1"/>
  <c r="H16" i="8"/>
  <c r="I16" i="8"/>
  <c r="J16" i="8"/>
  <c r="K16" i="8"/>
  <c r="L16" i="8"/>
  <c r="M16" i="8"/>
  <c r="N16" i="8"/>
  <c r="O16" i="8"/>
  <c r="O118" i="8" s="1"/>
  <c r="P16" i="8"/>
  <c r="Q16" i="8"/>
  <c r="R16" i="8"/>
  <c r="S16" i="8"/>
  <c r="T16" i="8"/>
  <c r="U16" i="8"/>
  <c r="V16" i="8"/>
  <c r="W16" i="8"/>
  <c r="W118" i="8" s="1"/>
  <c r="X16" i="8"/>
  <c r="Y16" i="8"/>
  <c r="Z16" i="8"/>
  <c r="AA16" i="8"/>
  <c r="AB16" i="8"/>
  <c r="AC16" i="8"/>
  <c r="AD16" i="8"/>
  <c r="AE16" i="8"/>
  <c r="AE118" i="8" s="1"/>
  <c r="AF16" i="8"/>
  <c r="AG16" i="8"/>
  <c r="AH16" i="8"/>
  <c r="AI16" i="8"/>
  <c r="AJ16" i="8"/>
  <c r="AK16" i="8"/>
  <c r="AL16" i="8"/>
  <c r="AM16" i="8"/>
  <c r="AM118" i="8" s="1"/>
  <c r="AN16" i="8"/>
  <c r="AO16" i="8"/>
  <c r="AP16" i="8"/>
  <c r="AQ16" i="8"/>
  <c r="AR16" i="8"/>
  <c r="AS16" i="8"/>
  <c r="AT16" i="8"/>
  <c r="B17" i="8"/>
  <c r="B119" i="8" s="1"/>
  <c r="C17" i="8"/>
  <c r="D17" i="8"/>
  <c r="E17" i="8"/>
  <c r="F17" i="8"/>
  <c r="G17" i="8"/>
  <c r="H17" i="8"/>
  <c r="I17" i="8"/>
  <c r="J17" i="8"/>
  <c r="J119" i="8" s="1"/>
  <c r="K17" i="8"/>
  <c r="L17" i="8"/>
  <c r="M17" i="8"/>
  <c r="N17" i="8"/>
  <c r="O17" i="8"/>
  <c r="P17" i="8"/>
  <c r="Q17" i="8"/>
  <c r="R17" i="8"/>
  <c r="R119" i="8" s="1"/>
  <c r="S17" i="8"/>
  <c r="T17" i="8"/>
  <c r="U17" i="8"/>
  <c r="V17" i="8"/>
  <c r="W17" i="8"/>
  <c r="X17" i="8"/>
  <c r="Y17" i="8"/>
  <c r="Z17" i="8"/>
  <c r="Z119" i="8" s="1"/>
  <c r="AA17" i="8"/>
  <c r="AB17" i="8"/>
  <c r="AC17" i="8"/>
  <c r="AD17" i="8"/>
  <c r="AE17" i="8"/>
  <c r="AF17" i="8"/>
  <c r="AG17" i="8"/>
  <c r="AH17" i="8"/>
  <c r="AH119" i="8" s="1"/>
  <c r="AI17" i="8"/>
  <c r="AJ17" i="8"/>
  <c r="AK17" i="8"/>
  <c r="AL17" i="8"/>
  <c r="AM17" i="8"/>
  <c r="AN17" i="8"/>
  <c r="AO17" i="8"/>
  <c r="AP17" i="8"/>
  <c r="AP119" i="8" s="1"/>
  <c r="AQ17" i="8"/>
  <c r="AR17" i="8"/>
  <c r="AS17" i="8"/>
  <c r="AT17" i="8"/>
  <c r="B18" i="8"/>
  <c r="C18" i="8"/>
  <c r="D18" i="8"/>
  <c r="E18" i="8"/>
  <c r="E120" i="8" s="1"/>
  <c r="F18" i="8"/>
  <c r="G18" i="8"/>
  <c r="H18" i="8"/>
  <c r="I18" i="8"/>
  <c r="J18" i="8"/>
  <c r="K18" i="8"/>
  <c r="L18" i="8"/>
  <c r="M18" i="8"/>
  <c r="M120" i="8" s="1"/>
  <c r="N18" i="8"/>
  <c r="O18" i="8"/>
  <c r="P18" i="8"/>
  <c r="Q18" i="8"/>
  <c r="R18" i="8"/>
  <c r="S18" i="8"/>
  <c r="T18" i="8"/>
  <c r="U18" i="8"/>
  <c r="U120" i="8" s="1"/>
  <c r="V18" i="8"/>
  <c r="W18" i="8"/>
  <c r="X18" i="8"/>
  <c r="Y18" i="8"/>
  <c r="Z18" i="8"/>
  <c r="AA18" i="8"/>
  <c r="AB18" i="8"/>
  <c r="AC18" i="8"/>
  <c r="AC120" i="8" s="1"/>
  <c r="AD18" i="8"/>
  <c r="AE18" i="8"/>
  <c r="AF18" i="8"/>
  <c r="AG18" i="8"/>
  <c r="AH18" i="8"/>
  <c r="AI18" i="8"/>
  <c r="AJ18" i="8"/>
  <c r="AK18" i="8"/>
  <c r="AK120" i="8" s="1"/>
  <c r="AL18" i="8"/>
  <c r="AM18" i="8"/>
  <c r="AN18" i="8"/>
  <c r="AO18" i="8"/>
  <c r="AP18" i="8"/>
  <c r="AQ18" i="8"/>
  <c r="AR18" i="8"/>
  <c r="AS18" i="8"/>
  <c r="AS120" i="8" s="1"/>
  <c r="AT18" i="8"/>
  <c r="B19" i="8"/>
  <c r="C19" i="8"/>
  <c r="D19" i="8"/>
  <c r="E19" i="8"/>
  <c r="F19" i="8"/>
  <c r="G19" i="8"/>
  <c r="H19" i="8"/>
  <c r="H121" i="8" s="1"/>
  <c r="I19" i="8"/>
  <c r="J19" i="8"/>
  <c r="K19" i="8"/>
  <c r="L19" i="8"/>
  <c r="M19" i="8"/>
  <c r="N19" i="8"/>
  <c r="O19" i="8"/>
  <c r="P19" i="8"/>
  <c r="P121" i="8" s="1"/>
  <c r="Q19" i="8"/>
  <c r="R19" i="8"/>
  <c r="S19" i="8"/>
  <c r="T19" i="8"/>
  <c r="U19" i="8"/>
  <c r="V19" i="8"/>
  <c r="W19" i="8"/>
  <c r="X19" i="8"/>
  <c r="X121" i="8" s="1"/>
  <c r="Y19" i="8"/>
  <c r="Z19" i="8"/>
  <c r="AA19" i="8"/>
  <c r="AB19" i="8"/>
  <c r="AC19" i="8"/>
  <c r="AD19" i="8"/>
  <c r="AE19" i="8"/>
  <c r="AF19" i="8"/>
  <c r="AF121" i="8" s="1"/>
  <c r="AG19" i="8"/>
  <c r="AH19" i="8"/>
  <c r="AI19" i="8"/>
  <c r="AJ19" i="8"/>
  <c r="AK19" i="8"/>
  <c r="AL19" i="8"/>
  <c r="AM19" i="8"/>
  <c r="AN19" i="8"/>
  <c r="AN121" i="8" s="1"/>
  <c r="AO19" i="8"/>
  <c r="AP19" i="8"/>
  <c r="AQ19" i="8"/>
  <c r="AR19" i="8"/>
  <c r="AS19" i="8"/>
  <c r="AT19" i="8"/>
  <c r="B20" i="8"/>
  <c r="C20" i="8"/>
  <c r="C122" i="8" s="1"/>
  <c r="D20" i="8"/>
  <c r="E20" i="8"/>
  <c r="F20" i="8"/>
  <c r="G20" i="8"/>
  <c r="H20" i="8"/>
  <c r="I20" i="8"/>
  <c r="J20" i="8"/>
  <c r="K20" i="8"/>
  <c r="K122" i="8" s="1"/>
  <c r="L20" i="8"/>
  <c r="M20" i="8"/>
  <c r="N20" i="8"/>
  <c r="O20" i="8"/>
  <c r="P20" i="8"/>
  <c r="Q20" i="8"/>
  <c r="R20" i="8"/>
  <c r="S20" i="8"/>
  <c r="S122" i="8" s="1"/>
  <c r="T20" i="8"/>
  <c r="U20" i="8"/>
  <c r="V20" i="8"/>
  <c r="W20" i="8"/>
  <c r="X20" i="8"/>
  <c r="Y20" i="8"/>
  <c r="Z20" i="8"/>
  <c r="AA20" i="8"/>
  <c r="AA122" i="8" s="1"/>
  <c r="AB20" i="8"/>
  <c r="AC20" i="8"/>
  <c r="AD20" i="8"/>
  <c r="AE20" i="8"/>
  <c r="AF20" i="8"/>
  <c r="AG20" i="8"/>
  <c r="AH20" i="8"/>
  <c r="AI20" i="8"/>
  <c r="AI122" i="8" s="1"/>
  <c r="AJ20" i="8"/>
  <c r="AK20" i="8"/>
  <c r="AL20" i="8"/>
  <c r="AM20" i="8"/>
  <c r="AN20" i="8"/>
  <c r="AO20" i="8"/>
  <c r="AP20" i="8"/>
  <c r="AQ20" i="8"/>
  <c r="AQ122" i="8" s="1"/>
  <c r="AR20" i="8"/>
  <c r="AS20" i="8"/>
  <c r="AT20" i="8"/>
  <c r="B21" i="8"/>
  <c r="C21" i="8"/>
  <c r="D21" i="8"/>
  <c r="E21" i="8"/>
  <c r="F21" i="8"/>
  <c r="F123" i="8" s="1"/>
  <c r="G21" i="8"/>
  <c r="H21" i="8"/>
  <c r="I21" i="8"/>
  <c r="J21" i="8"/>
  <c r="K21" i="8"/>
  <c r="L21" i="8"/>
  <c r="M21" i="8"/>
  <c r="N21" i="8"/>
  <c r="N123" i="8" s="1"/>
  <c r="O21" i="8"/>
  <c r="P21" i="8"/>
  <c r="Q21" i="8"/>
  <c r="R21" i="8"/>
  <c r="S21" i="8"/>
  <c r="T21" i="8"/>
  <c r="U21" i="8"/>
  <c r="V21" i="8"/>
  <c r="V123" i="8" s="1"/>
  <c r="W21" i="8"/>
  <c r="X21" i="8"/>
  <c r="Y21" i="8"/>
  <c r="Z21" i="8"/>
  <c r="AA21" i="8"/>
  <c r="AB21" i="8"/>
  <c r="AC21" i="8"/>
  <c r="AD21" i="8"/>
  <c r="AD123" i="8" s="1"/>
  <c r="AE21" i="8"/>
  <c r="AF21" i="8"/>
  <c r="AG21" i="8"/>
  <c r="AH21" i="8"/>
  <c r="AI21" i="8"/>
  <c r="AJ21" i="8"/>
  <c r="AK21" i="8"/>
  <c r="AL21" i="8"/>
  <c r="AL123" i="8" s="1"/>
  <c r="AM21" i="8"/>
  <c r="AN21" i="8"/>
  <c r="AO21" i="8"/>
  <c r="AP21" i="8"/>
  <c r="AQ21" i="8"/>
  <c r="AR21" i="8"/>
  <c r="AS21" i="8"/>
  <c r="AT21" i="8"/>
  <c r="AT123" i="8" s="1"/>
  <c r="B22" i="8"/>
  <c r="C22" i="8"/>
  <c r="D22" i="8"/>
  <c r="E22" i="8"/>
  <c r="F22" i="8"/>
  <c r="G22" i="8"/>
  <c r="H22" i="8"/>
  <c r="I22" i="8"/>
  <c r="I124" i="8" s="1"/>
  <c r="J22" i="8"/>
  <c r="K22" i="8"/>
  <c r="L22" i="8"/>
  <c r="M22" i="8"/>
  <c r="N22" i="8"/>
  <c r="O22" i="8"/>
  <c r="P22" i="8"/>
  <c r="Q22" i="8"/>
  <c r="Q124" i="8" s="1"/>
  <c r="R22" i="8"/>
  <c r="S22" i="8"/>
  <c r="T22" i="8"/>
  <c r="U22" i="8"/>
  <c r="V22" i="8"/>
  <c r="W22" i="8"/>
  <c r="X22" i="8"/>
  <c r="Y22" i="8"/>
  <c r="Y124" i="8" s="1"/>
  <c r="Z22" i="8"/>
  <c r="AA22" i="8"/>
  <c r="AB22" i="8"/>
  <c r="AC22" i="8"/>
  <c r="AD22" i="8"/>
  <c r="AE22" i="8"/>
  <c r="AF22" i="8"/>
  <c r="AG22" i="8"/>
  <c r="AG124" i="8" s="1"/>
  <c r="AH22" i="8"/>
  <c r="AI22" i="8"/>
  <c r="AJ22" i="8"/>
  <c r="AK22" i="8"/>
  <c r="AL22" i="8"/>
  <c r="AM22" i="8"/>
  <c r="AN22" i="8"/>
  <c r="AO22" i="8"/>
  <c r="AO124" i="8" s="1"/>
  <c r="AP22" i="8"/>
  <c r="AQ22" i="8"/>
  <c r="AR22" i="8"/>
  <c r="AS22" i="8"/>
  <c r="AT22" i="8"/>
  <c r="B23" i="8"/>
  <c r="C23" i="8"/>
  <c r="D23" i="8"/>
  <c r="D125" i="8" s="1"/>
  <c r="E23" i="8"/>
  <c r="F23" i="8"/>
  <c r="G23" i="8"/>
  <c r="H23" i="8"/>
  <c r="I23" i="8"/>
  <c r="J23" i="8"/>
  <c r="K23" i="8"/>
  <c r="L23" i="8"/>
  <c r="L125" i="8" s="1"/>
  <c r="M23" i="8"/>
  <c r="N23" i="8"/>
  <c r="O23" i="8"/>
  <c r="P23" i="8"/>
  <c r="Q23" i="8"/>
  <c r="R23" i="8"/>
  <c r="S23" i="8"/>
  <c r="T23" i="8"/>
  <c r="T125" i="8" s="1"/>
  <c r="U23" i="8"/>
  <c r="V23" i="8"/>
  <c r="W23" i="8"/>
  <c r="X23" i="8"/>
  <c r="Y23" i="8"/>
  <c r="Z23" i="8"/>
  <c r="AA23" i="8"/>
  <c r="AB23" i="8"/>
  <c r="AB125" i="8" s="1"/>
  <c r="AC23" i="8"/>
  <c r="AD23" i="8"/>
  <c r="AE23" i="8"/>
  <c r="AF23" i="8"/>
  <c r="AG23" i="8"/>
  <c r="AH23" i="8"/>
  <c r="AI23" i="8"/>
  <c r="AJ23" i="8"/>
  <c r="AJ125" i="8" s="1"/>
  <c r="AK23" i="8"/>
  <c r="AL23" i="8"/>
  <c r="AM23" i="8"/>
  <c r="AN23" i="8"/>
  <c r="AO23" i="8"/>
  <c r="AP23" i="8"/>
  <c r="AQ23" i="8"/>
  <c r="AR23" i="8"/>
  <c r="AR125" i="8" s="1"/>
  <c r="AS23" i="8"/>
  <c r="AT23" i="8"/>
  <c r="B24" i="8"/>
  <c r="C24" i="8"/>
  <c r="D24" i="8"/>
  <c r="E24" i="8"/>
  <c r="F24" i="8"/>
  <c r="G24" i="8"/>
  <c r="G126" i="8" s="1"/>
  <c r="H24" i="8"/>
  <c r="I24" i="8"/>
  <c r="J24" i="8"/>
  <c r="K24" i="8"/>
  <c r="L24" i="8"/>
  <c r="M24" i="8"/>
  <c r="N24" i="8"/>
  <c r="O24" i="8"/>
  <c r="O126" i="8" s="1"/>
  <c r="P24" i="8"/>
  <c r="Q24" i="8"/>
  <c r="R24" i="8"/>
  <c r="S24" i="8"/>
  <c r="T24" i="8"/>
  <c r="U24" i="8"/>
  <c r="V24" i="8"/>
  <c r="W24" i="8"/>
  <c r="W126" i="8" s="1"/>
  <c r="X24" i="8"/>
  <c r="Y24" i="8"/>
  <c r="Z24" i="8"/>
  <c r="AA24" i="8"/>
  <c r="AB24" i="8"/>
  <c r="AC24" i="8"/>
  <c r="AD24" i="8"/>
  <c r="AE24" i="8"/>
  <c r="AE126" i="8" s="1"/>
  <c r="AF24" i="8"/>
  <c r="AG24" i="8"/>
  <c r="AH24" i="8"/>
  <c r="AI24" i="8"/>
  <c r="AJ24" i="8"/>
  <c r="AK24" i="8"/>
  <c r="AL24" i="8"/>
  <c r="AM24" i="8"/>
  <c r="AM126" i="8" s="1"/>
  <c r="AN24" i="8"/>
  <c r="AO24" i="8"/>
  <c r="AP24" i="8"/>
  <c r="AQ24" i="8"/>
  <c r="AR24" i="8"/>
  <c r="AS24" i="8"/>
  <c r="AT24" i="8"/>
  <c r="B25" i="8"/>
  <c r="B127" i="8" s="1"/>
  <c r="C25" i="8"/>
  <c r="D25" i="8"/>
  <c r="E25" i="8"/>
  <c r="F25" i="8"/>
  <c r="G25" i="8"/>
  <c r="H25" i="8"/>
  <c r="I25" i="8"/>
  <c r="J25" i="8"/>
  <c r="J127" i="8" s="1"/>
  <c r="K25" i="8"/>
  <c r="L25" i="8"/>
  <c r="M25" i="8"/>
  <c r="N25" i="8"/>
  <c r="O25" i="8"/>
  <c r="P25" i="8"/>
  <c r="Q25" i="8"/>
  <c r="R25" i="8"/>
  <c r="R127" i="8" s="1"/>
  <c r="S25" i="8"/>
  <c r="T25" i="8"/>
  <c r="U25" i="8"/>
  <c r="V25" i="8"/>
  <c r="W25" i="8"/>
  <c r="X25" i="8"/>
  <c r="Y25" i="8"/>
  <c r="Z25" i="8"/>
  <c r="Z127" i="8" s="1"/>
  <c r="AA25" i="8"/>
  <c r="AB25" i="8"/>
  <c r="AC25" i="8"/>
  <c r="AD25" i="8"/>
  <c r="AE25" i="8"/>
  <c r="AF25" i="8"/>
  <c r="AG25" i="8"/>
  <c r="AH25" i="8"/>
  <c r="AH127" i="8" s="1"/>
  <c r="AI25" i="8"/>
  <c r="AJ25" i="8"/>
  <c r="AK25" i="8"/>
  <c r="AL25" i="8"/>
  <c r="AM25" i="8"/>
  <c r="AN25" i="8"/>
  <c r="AO25" i="8"/>
  <c r="AP25" i="8"/>
  <c r="AP127" i="8" s="1"/>
  <c r="AQ25" i="8"/>
  <c r="AR25" i="8"/>
  <c r="AS25" i="8"/>
  <c r="AT25" i="8"/>
  <c r="B26" i="8"/>
  <c r="C26" i="8"/>
  <c r="D26" i="8"/>
  <c r="E26" i="8"/>
  <c r="E128" i="8" s="1"/>
  <c r="F26" i="8"/>
  <c r="G26" i="8"/>
  <c r="H26" i="8"/>
  <c r="I26" i="8"/>
  <c r="J26" i="8"/>
  <c r="K26" i="8"/>
  <c r="L26" i="8"/>
  <c r="M26" i="8"/>
  <c r="M128" i="8" s="1"/>
  <c r="N26" i="8"/>
  <c r="O26" i="8"/>
  <c r="P26" i="8"/>
  <c r="Q26" i="8"/>
  <c r="R26" i="8"/>
  <c r="S26" i="8"/>
  <c r="T26" i="8"/>
  <c r="U26" i="8"/>
  <c r="U128" i="8" s="1"/>
  <c r="V26" i="8"/>
  <c r="W26" i="8"/>
  <c r="X26" i="8"/>
  <c r="Y26" i="8"/>
  <c r="Z26" i="8"/>
  <c r="AA26" i="8"/>
  <c r="AB26" i="8"/>
  <c r="AC26" i="8"/>
  <c r="AC128" i="8" s="1"/>
  <c r="AD26" i="8"/>
  <c r="AE26" i="8"/>
  <c r="AF26" i="8"/>
  <c r="AG26" i="8"/>
  <c r="AH26" i="8"/>
  <c r="AI26" i="8"/>
  <c r="AJ26" i="8"/>
  <c r="AK26" i="8"/>
  <c r="AK128" i="8" s="1"/>
  <c r="AL26" i="8"/>
  <c r="AM26" i="8"/>
  <c r="AN26" i="8"/>
  <c r="AO26" i="8"/>
  <c r="AP26" i="8"/>
  <c r="AQ26" i="8"/>
  <c r="AR26" i="8"/>
  <c r="AS26" i="8"/>
  <c r="AS128" i="8" s="1"/>
  <c r="AT26" i="8"/>
  <c r="B27" i="8"/>
  <c r="C27" i="8"/>
  <c r="D27" i="8"/>
  <c r="E27" i="8"/>
  <c r="F27" i="8"/>
  <c r="G27" i="8"/>
  <c r="H27" i="8"/>
  <c r="H129" i="8" s="1"/>
  <c r="I27" i="8"/>
  <c r="J27" i="8"/>
  <c r="K27" i="8"/>
  <c r="L27" i="8"/>
  <c r="M27" i="8"/>
  <c r="N27" i="8"/>
  <c r="O27" i="8"/>
  <c r="P27" i="8"/>
  <c r="P129" i="8" s="1"/>
  <c r="Q27" i="8"/>
  <c r="R27" i="8"/>
  <c r="S27" i="8"/>
  <c r="T27" i="8"/>
  <c r="U27" i="8"/>
  <c r="V27" i="8"/>
  <c r="W27" i="8"/>
  <c r="X27" i="8"/>
  <c r="X129" i="8" s="1"/>
  <c r="Y27" i="8"/>
  <c r="Z27" i="8"/>
  <c r="AA27" i="8"/>
  <c r="AB27" i="8"/>
  <c r="AC27" i="8"/>
  <c r="AD27" i="8"/>
  <c r="AE27" i="8"/>
  <c r="AF27" i="8"/>
  <c r="AF129" i="8" s="1"/>
  <c r="AG27" i="8"/>
  <c r="AH27" i="8"/>
  <c r="AI27" i="8"/>
  <c r="AJ27" i="8"/>
  <c r="AK27" i="8"/>
  <c r="AL27" i="8"/>
  <c r="AM27" i="8"/>
  <c r="AN27" i="8"/>
  <c r="AN129" i="8" s="1"/>
  <c r="AO27" i="8"/>
  <c r="AP27" i="8"/>
  <c r="AQ27" i="8"/>
  <c r="AR27" i="8"/>
  <c r="AS27" i="8"/>
  <c r="AT27" i="8"/>
  <c r="B28" i="8"/>
  <c r="C28" i="8"/>
  <c r="C130" i="8" s="1"/>
  <c r="D28" i="8"/>
  <c r="E28" i="8"/>
  <c r="F28" i="8"/>
  <c r="G28" i="8"/>
  <c r="H28" i="8"/>
  <c r="I28" i="8"/>
  <c r="J28" i="8"/>
  <c r="K28" i="8"/>
  <c r="K130" i="8" s="1"/>
  <c r="L28" i="8"/>
  <c r="M28" i="8"/>
  <c r="N28" i="8"/>
  <c r="O28" i="8"/>
  <c r="P28" i="8"/>
  <c r="Q28" i="8"/>
  <c r="R28" i="8"/>
  <c r="S28" i="8"/>
  <c r="S130" i="8" s="1"/>
  <c r="T28" i="8"/>
  <c r="U28" i="8"/>
  <c r="V28" i="8"/>
  <c r="W28" i="8"/>
  <c r="X28" i="8"/>
  <c r="Y28" i="8"/>
  <c r="Z28" i="8"/>
  <c r="AA28" i="8"/>
  <c r="AA130" i="8" s="1"/>
  <c r="AB28" i="8"/>
  <c r="AC28" i="8"/>
  <c r="AD28" i="8"/>
  <c r="AE28" i="8"/>
  <c r="AF28" i="8"/>
  <c r="AG28" i="8"/>
  <c r="AH28" i="8"/>
  <c r="AI28" i="8"/>
  <c r="AI130" i="8" s="1"/>
  <c r="AJ28" i="8"/>
  <c r="AK28" i="8"/>
  <c r="AL28" i="8"/>
  <c r="AM28" i="8"/>
  <c r="AN28" i="8"/>
  <c r="AO28" i="8"/>
  <c r="AP28" i="8"/>
  <c r="AQ28" i="8"/>
  <c r="AQ130" i="8" s="1"/>
  <c r="AR28" i="8"/>
  <c r="AS28" i="8"/>
  <c r="AT28" i="8"/>
  <c r="B29" i="8"/>
  <c r="C29" i="8"/>
  <c r="D29" i="8"/>
  <c r="E29" i="8"/>
  <c r="F29" i="8"/>
  <c r="F131" i="8" s="1"/>
  <c r="G29" i="8"/>
  <c r="H29" i="8"/>
  <c r="I29" i="8"/>
  <c r="J29" i="8"/>
  <c r="K29" i="8"/>
  <c r="L29" i="8"/>
  <c r="M29" i="8"/>
  <c r="N29" i="8"/>
  <c r="N131" i="8" s="1"/>
  <c r="O29" i="8"/>
  <c r="P29" i="8"/>
  <c r="Q29" i="8"/>
  <c r="R29" i="8"/>
  <c r="S29" i="8"/>
  <c r="T29" i="8"/>
  <c r="U29" i="8"/>
  <c r="V29" i="8"/>
  <c r="V131" i="8" s="1"/>
  <c r="W29" i="8"/>
  <c r="X29" i="8"/>
  <c r="Y29" i="8"/>
  <c r="Z29" i="8"/>
  <c r="AA29" i="8"/>
  <c r="AB29" i="8"/>
  <c r="AC29" i="8"/>
  <c r="AD29" i="8"/>
  <c r="AD131" i="8" s="1"/>
  <c r="AE29" i="8"/>
  <c r="AF29" i="8"/>
  <c r="AG29" i="8"/>
  <c r="AH29" i="8"/>
  <c r="AI29" i="8"/>
  <c r="AJ29" i="8"/>
  <c r="AK29" i="8"/>
  <c r="AL29" i="8"/>
  <c r="AL131" i="8" s="1"/>
  <c r="AM29" i="8"/>
  <c r="AN29" i="8"/>
  <c r="AO29" i="8"/>
  <c r="AP29" i="8"/>
  <c r="AQ29" i="8"/>
  <c r="AR29" i="8"/>
  <c r="AS29" i="8"/>
  <c r="AT29" i="8"/>
  <c r="AT131" i="8" s="1"/>
  <c r="B30" i="8"/>
  <c r="C30" i="8"/>
  <c r="D30" i="8"/>
  <c r="E30" i="8"/>
  <c r="F30" i="8"/>
  <c r="G30" i="8"/>
  <c r="H30" i="8"/>
  <c r="I30" i="8"/>
  <c r="I132" i="8" s="1"/>
  <c r="J30" i="8"/>
  <c r="K30" i="8"/>
  <c r="L30" i="8"/>
  <c r="M30" i="8"/>
  <c r="N30" i="8"/>
  <c r="O30" i="8"/>
  <c r="P30" i="8"/>
  <c r="Q30" i="8"/>
  <c r="Q132" i="8" s="1"/>
  <c r="R30" i="8"/>
  <c r="S30" i="8"/>
  <c r="T30" i="8"/>
  <c r="U30" i="8"/>
  <c r="V30" i="8"/>
  <c r="W30" i="8"/>
  <c r="X30" i="8"/>
  <c r="Y30" i="8"/>
  <c r="Y132" i="8" s="1"/>
  <c r="Z30" i="8"/>
  <c r="AA30" i="8"/>
  <c r="AB30" i="8"/>
  <c r="AC30" i="8"/>
  <c r="AD30" i="8"/>
  <c r="AE30" i="8"/>
  <c r="AF30" i="8"/>
  <c r="AG30" i="8"/>
  <c r="AG132" i="8" s="1"/>
  <c r="AH30" i="8"/>
  <c r="AI30" i="8"/>
  <c r="AJ30" i="8"/>
  <c r="AK30" i="8"/>
  <c r="AL30" i="8"/>
  <c r="AM30" i="8"/>
  <c r="AN30" i="8"/>
  <c r="AO30" i="8"/>
  <c r="AO132" i="8" s="1"/>
  <c r="AP30" i="8"/>
  <c r="AQ30" i="8"/>
  <c r="AR30" i="8"/>
  <c r="AS30" i="8"/>
  <c r="AT30" i="8"/>
  <c r="B31" i="8"/>
  <c r="C31" i="8"/>
  <c r="D31" i="8"/>
  <c r="D133" i="8" s="1"/>
  <c r="E31" i="8"/>
  <c r="F31" i="8"/>
  <c r="G31" i="8"/>
  <c r="H31" i="8"/>
  <c r="I31" i="8"/>
  <c r="J31" i="8"/>
  <c r="K31" i="8"/>
  <c r="L31" i="8"/>
  <c r="L133" i="8" s="1"/>
  <c r="M31" i="8"/>
  <c r="N31" i="8"/>
  <c r="O31" i="8"/>
  <c r="P31" i="8"/>
  <c r="Q31" i="8"/>
  <c r="R31" i="8"/>
  <c r="S31" i="8"/>
  <c r="T31" i="8"/>
  <c r="T133" i="8" s="1"/>
  <c r="U31" i="8"/>
  <c r="V31" i="8"/>
  <c r="W31" i="8"/>
  <c r="X31" i="8"/>
  <c r="Y31" i="8"/>
  <c r="Z31" i="8"/>
  <c r="AA31" i="8"/>
  <c r="AB31" i="8"/>
  <c r="AB133" i="8" s="1"/>
  <c r="AC31" i="8"/>
  <c r="AD31" i="8"/>
  <c r="AE31" i="8"/>
  <c r="AF31" i="8"/>
  <c r="AG31" i="8"/>
  <c r="AH31" i="8"/>
  <c r="AI31" i="8"/>
  <c r="AJ31" i="8"/>
  <c r="AJ133" i="8" s="1"/>
  <c r="AK31" i="8"/>
  <c r="AL31" i="8"/>
  <c r="AM31" i="8"/>
  <c r="AN31" i="8"/>
  <c r="AO31" i="8"/>
  <c r="AP31" i="8"/>
  <c r="AQ31" i="8"/>
  <c r="AR31" i="8"/>
  <c r="AR133" i="8" s="1"/>
  <c r="AS31" i="8"/>
  <c r="AT31" i="8"/>
  <c r="B32" i="8"/>
  <c r="C32" i="8"/>
  <c r="D32" i="8"/>
  <c r="E32" i="8"/>
  <c r="F32" i="8"/>
  <c r="G32" i="8"/>
  <c r="G134" i="8" s="1"/>
  <c r="H32" i="8"/>
  <c r="I32" i="8"/>
  <c r="J32" i="8"/>
  <c r="K32" i="8"/>
  <c r="L32" i="8"/>
  <c r="M32" i="8"/>
  <c r="N32" i="8"/>
  <c r="O32" i="8"/>
  <c r="O134" i="8" s="1"/>
  <c r="P32" i="8"/>
  <c r="Q32" i="8"/>
  <c r="R32" i="8"/>
  <c r="S32" i="8"/>
  <c r="T32" i="8"/>
  <c r="U32" i="8"/>
  <c r="V32" i="8"/>
  <c r="W32" i="8"/>
  <c r="W134" i="8" s="1"/>
  <c r="X32" i="8"/>
  <c r="Y32" i="8"/>
  <c r="Z32" i="8"/>
  <c r="AA32" i="8"/>
  <c r="AB32" i="8"/>
  <c r="AC32" i="8"/>
  <c r="AD32" i="8"/>
  <c r="AE32" i="8"/>
  <c r="AE134" i="8" s="1"/>
  <c r="AF32" i="8"/>
  <c r="AG32" i="8"/>
  <c r="AH32" i="8"/>
  <c r="AI32" i="8"/>
  <c r="AJ32" i="8"/>
  <c r="AK32" i="8"/>
  <c r="AL32" i="8"/>
  <c r="AM32" i="8"/>
  <c r="AM134" i="8" s="1"/>
  <c r="AN32" i="8"/>
  <c r="AO32" i="8"/>
  <c r="AP32" i="8"/>
  <c r="AQ32" i="8"/>
  <c r="AR32" i="8"/>
  <c r="AS32" i="8"/>
  <c r="AT32" i="8"/>
  <c r="B33" i="8"/>
  <c r="B135" i="8" s="1"/>
  <c r="C33" i="8"/>
  <c r="D33" i="8"/>
  <c r="E33" i="8"/>
  <c r="F33" i="8"/>
  <c r="G33" i="8"/>
  <c r="H33" i="8"/>
  <c r="I33" i="8"/>
  <c r="J33" i="8"/>
  <c r="J135" i="8" s="1"/>
  <c r="K33" i="8"/>
  <c r="L33" i="8"/>
  <c r="M33" i="8"/>
  <c r="N33" i="8"/>
  <c r="O33" i="8"/>
  <c r="P33" i="8"/>
  <c r="Q33" i="8"/>
  <c r="R33" i="8"/>
  <c r="R135" i="8" s="1"/>
  <c r="S33" i="8"/>
  <c r="T33" i="8"/>
  <c r="U33" i="8"/>
  <c r="V33" i="8"/>
  <c r="W33" i="8"/>
  <c r="X33" i="8"/>
  <c r="Y33" i="8"/>
  <c r="Z33" i="8"/>
  <c r="Z135" i="8" s="1"/>
  <c r="AA33" i="8"/>
  <c r="AB33" i="8"/>
  <c r="AC33" i="8"/>
  <c r="AD33" i="8"/>
  <c r="AE33" i="8"/>
  <c r="AF33" i="8"/>
  <c r="AG33" i="8"/>
  <c r="AH33" i="8"/>
  <c r="AH135" i="8" s="1"/>
  <c r="AI33" i="8"/>
  <c r="AJ33" i="8"/>
  <c r="AK33" i="8"/>
  <c r="AL33" i="8"/>
  <c r="AM33" i="8"/>
  <c r="AN33" i="8"/>
  <c r="AO33" i="8"/>
  <c r="AP33" i="8"/>
  <c r="AP135" i="8" s="1"/>
  <c r="AQ33" i="8"/>
  <c r="AR33" i="8"/>
  <c r="AS33" i="8"/>
  <c r="AT33" i="8"/>
  <c r="B34" i="8"/>
  <c r="C34" i="8"/>
  <c r="D34" i="8"/>
  <c r="E34" i="8"/>
  <c r="E136" i="8" s="1"/>
  <c r="F34" i="8"/>
  <c r="G34" i="8"/>
  <c r="H34" i="8"/>
  <c r="I34" i="8"/>
  <c r="J34" i="8"/>
  <c r="K34" i="8"/>
  <c r="L34" i="8"/>
  <c r="M34" i="8"/>
  <c r="M136" i="8" s="1"/>
  <c r="N34" i="8"/>
  <c r="O34" i="8"/>
  <c r="P34" i="8"/>
  <c r="Q34" i="8"/>
  <c r="R34" i="8"/>
  <c r="S34" i="8"/>
  <c r="T34" i="8"/>
  <c r="U34" i="8"/>
  <c r="U136" i="8" s="1"/>
  <c r="V34" i="8"/>
  <c r="W34" i="8"/>
  <c r="X34" i="8"/>
  <c r="Y34" i="8"/>
  <c r="Z34" i="8"/>
  <c r="AA34" i="8"/>
  <c r="AB34" i="8"/>
  <c r="AC34" i="8"/>
  <c r="AC136" i="8" s="1"/>
  <c r="AD34" i="8"/>
  <c r="AE34" i="8"/>
  <c r="AF34" i="8"/>
  <c r="AG34" i="8"/>
  <c r="AH34" i="8"/>
  <c r="AI34" i="8"/>
  <c r="AJ34" i="8"/>
  <c r="AK34" i="8"/>
  <c r="AK136" i="8" s="1"/>
  <c r="AL34" i="8"/>
  <c r="AM34" i="8"/>
  <c r="AN34" i="8"/>
  <c r="AO34" i="8"/>
  <c r="AP34" i="8"/>
  <c r="AQ34" i="8"/>
  <c r="AR34" i="8"/>
  <c r="AS34" i="8"/>
  <c r="AS136" i="8" s="1"/>
  <c r="AT34" i="8"/>
  <c r="B35" i="8"/>
  <c r="C35" i="8"/>
  <c r="D35" i="8"/>
  <c r="E35" i="8"/>
  <c r="F35" i="8"/>
  <c r="G35" i="8"/>
  <c r="H35" i="8"/>
  <c r="H137" i="8" s="1"/>
  <c r="I35" i="8"/>
  <c r="J35" i="8"/>
  <c r="K35" i="8"/>
  <c r="L35" i="8"/>
  <c r="M35" i="8"/>
  <c r="N35" i="8"/>
  <c r="O35" i="8"/>
  <c r="P35" i="8"/>
  <c r="P137" i="8" s="1"/>
  <c r="Q35" i="8"/>
  <c r="R35" i="8"/>
  <c r="S35" i="8"/>
  <c r="T35" i="8"/>
  <c r="U35" i="8"/>
  <c r="V35" i="8"/>
  <c r="W35" i="8"/>
  <c r="X35" i="8"/>
  <c r="X137" i="8" s="1"/>
  <c r="Y35" i="8"/>
  <c r="Z35" i="8"/>
  <c r="AA35" i="8"/>
  <c r="AB35" i="8"/>
  <c r="AC35" i="8"/>
  <c r="AD35" i="8"/>
  <c r="AE35" i="8"/>
  <c r="AF35" i="8"/>
  <c r="AF137" i="8" s="1"/>
  <c r="AG35" i="8"/>
  <c r="AH35" i="8"/>
  <c r="AI35" i="8"/>
  <c r="AJ35" i="8"/>
  <c r="AK35" i="8"/>
  <c r="AL35" i="8"/>
  <c r="AM35" i="8"/>
  <c r="AN35" i="8"/>
  <c r="AN137" i="8" s="1"/>
  <c r="AO35" i="8"/>
  <c r="AP35" i="8"/>
  <c r="AQ35" i="8"/>
  <c r="AR35" i="8"/>
  <c r="AS35" i="8"/>
  <c r="AT35" i="8"/>
  <c r="B36" i="8"/>
  <c r="C36" i="8"/>
  <c r="C138" i="8" s="1"/>
  <c r="D36" i="8"/>
  <c r="E36" i="8"/>
  <c r="F36" i="8"/>
  <c r="G36" i="8"/>
  <c r="H36" i="8"/>
  <c r="I36" i="8"/>
  <c r="J36" i="8"/>
  <c r="K36" i="8"/>
  <c r="K138" i="8" s="1"/>
  <c r="L36" i="8"/>
  <c r="M36" i="8"/>
  <c r="N36" i="8"/>
  <c r="O36" i="8"/>
  <c r="P36" i="8"/>
  <c r="Q36" i="8"/>
  <c r="R36" i="8"/>
  <c r="S36" i="8"/>
  <c r="S138" i="8" s="1"/>
  <c r="T36" i="8"/>
  <c r="U36" i="8"/>
  <c r="V36" i="8"/>
  <c r="W36" i="8"/>
  <c r="X36" i="8"/>
  <c r="Y36" i="8"/>
  <c r="Z36" i="8"/>
  <c r="AA36" i="8"/>
  <c r="AA138" i="8" s="1"/>
  <c r="AB36" i="8"/>
  <c r="AC36" i="8"/>
  <c r="AD36" i="8"/>
  <c r="AE36" i="8"/>
  <c r="AF36" i="8"/>
  <c r="AG36" i="8"/>
  <c r="AH36" i="8"/>
  <c r="AI36" i="8"/>
  <c r="AI138" i="8" s="1"/>
  <c r="AJ36" i="8"/>
  <c r="AK36" i="8"/>
  <c r="AL36" i="8"/>
  <c r="AM36" i="8"/>
  <c r="AN36" i="8"/>
  <c r="AO36" i="8"/>
  <c r="AP36" i="8"/>
  <c r="AQ36" i="8"/>
  <c r="AQ138" i="8" s="1"/>
  <c r="AR36" i="8"/>
  <c r="AS36" i="8"/>
  <c r="AT36" i="8"/>
  <c r="B37" i="8"/>
  <c r="C37" i="8"/>
  <c r="D37" i="8"/>
  <c r="E37" i="8"/>
  <c r="F37" i="8"/>
  <c r="F139" i="8" s="1"/>
  <c r="G37" i="8"/>
  <c r="H37" i="8"/>
  <c r="I37" i="8"/>
  <c r="J37" i="8"/>
  <c r="K37" i="8"/>
  <c r="L37" i="8"/>
  <c r="M37" i="8"/>
  <c r="N37" i="8"/>
  <c r="N139" i="8" s="1"/>
  <c r="O37" i="8"/>
  <c r="P37" i="8"/>
  <c r="Q37" i="8"/>
  <c r="R37" i="8"/>
  <c r="S37" i="8"/>
  <c r="T37" i="8"/>
  <c r="U37" i="8"/>
  <c r="V37" i="8"/>
  <c r="V139" i="8" s="1"/>
  <c r="W37" i="8"/>
  <c r="X37" i="8"/>
  <c r="Y37" i="8"/>
  <c r="Z37" i="8"/>
  <c r="AA37" i="8"/>
  <c r="AB37" i="8"/>
  <c r="AC37" i="8"/>
  <c r="AD37" i="8"/>
  <c r="AD139" i="8" s="1"/>
  <c r="AE37" i="8"/>
  <c r="AF37" i="8"/>
  <c r="AG37" i="8"/>
  <c r="AH37" i="8"/>
  <c r="AI37" i="8"/>
  <c r="AJ37" i="8"/>
  <c r="AK37" i="8"/>
  <c r="AL37" i="8"/>
  <c r="AL139" i="8" s="1"/>
  <c r="AM37" i="8"/>
  <c r="AN37" i="8"/>
  <c r="AO37" i="8"/>
  <c r="AP37" i="8"/>
  <c r="AQ37" i="8"/>
  <c r="AR37" i="8"/>
  <c r="AS37" i="8"/>
  <c r="AT37" i="8"/>
  <c r="AT139" i="8" s="1"/>
  <c r="B38" i="8"/>
  <c r="C38" i="8"/>
  <c r="D38" i="8"/>
  <c r="E38" i="8"/>
  <c r="F38" i="8"/>
  <c r="G38" i="8"/>
  <c r="H38" i="8"/>
  <c r="I38" i="8"/>
  <c r="I140" i="8" s="1"/>
  <c r="J38" i="8"/>
  <c r="K38" i="8"/>
  <c r="L38" i="8"/>
  <c r="M38" i="8"/>
  <c r="N38" i="8"/>
  <c r="O38" i="8"/>
  <c r="P38" i="8"/>
  <c r="Q38" i="8"/>
  <c r="Q140" i="8" s="1"/>
  <c r="R38" i="8"/>
  <c r="S38" i="8"/>
  <c r="T38" i="8"/>
  <c r="U38" i="8"/>
  <c r="V38" i="8"/>
  <c r="W38" i="8"/>
  <c r="X38" i="8"/>
  <c r="Y38" i="8"/>
  <c r="Y140" i="8" s="1"/>
  <c r="Z38" i="8"/>
  <c r="AA38" i="8"/>
  <c r="AB38" i="8"/>
  <c r="AC38" i="8"/>
  <c r="AD38" i="8"/>
  <c r="AE38" i="8"/>
  <c r="AF38" i="8"/>
  <c r="AG38" i="8"/>
  <c r="AG140" i="8" s="1"/>
  <c r="AH38" i="8"/>
  <c r="AI38" i="8"/>
  <c r="AJ38" i="8"/>
  <c r="AK38" i="8"/>
  <c r="AL38" i="8"/>
  <c r="AM38" i="8"/>
  <c r="AN38" i="8"/>
  <c r="AO38" i="8"/>
  <c r="AO140" i="8" s="1"/>
  <c r="AP38" i="8"/>
  <c r="AQ38" i="8"/>
  <c r="AR38" i="8"/>
  <c r="AS38" i="8"/>
  <c r="AT38" i="8"/>
  <c r="B39" i="8"/>
  <c r="C39" i="8"/>
  <c r="D39" i="8"/>
  <c r="D141" i="8" s="1"/>
  <c r="E39" i="8"/>
  <c r="F39" i="8"/>
  <c r="G39" i="8"/>
  <c r="H39" i="8"/>
  <c r="I39" i="8"/>
  <c r="J39" i="8"/>
  <c r="K39" i="8"/>
  <c r="L39" i="8"/>
  <c r="L141" i="8" s="1"/>
  <c r="M39" i="8"/>
  <c r="N39" i="8"/>
  <c r="O39" i="8"/>
  <c r="P39" i="8"/>
  <c r="Q39" i="8"/>
  <c r="R39" i="8"/>
  <c r="S39" i="8"/>
  <c r="T39" i="8"/>
  <c r="T141" i="8" s="1"/>
  <c r="U39" i="8"/>
  <c r="V39" i="8"/>
  <c r="W39" i="8"/>
  <c r="X39" i="8"/>
  <c r="Y39" i="8"/>
  <c r="Z39" i="8"/>
  <c r="AA39" i="8"/>
  <c r="AB39" i="8"/>
  <c r="AB141" i="8" s="1"/>
  <c r="AC39" i="8"/>
  <c r="AD39" i="8"/>
  <c r="AE39" i="8"/>
  <c r="AF39" i="8"/>
  <c r="AG39" i="8"/>
  <c r="AH39" i="8"/>
  <c r="AI39" i="8"/>
  <c r="AJ39" i="8"/>
  <c r="AJ141" i="8" s="1"/>
  <c r="AK39" i="8"/>
  <c r="AL39" i="8"/>
  <c r="AM39" i="8"/>
  <c r="AN39" i="8"/>
  <c r="AO39" i="8"/>
  <c r="AP39" i="8"/>
  <c r="AQ39" i="8"/>
  <c r="AR39" i="8"/>
  <c r="AR141" i="8" s="1"/>
  <c r="AS39" i="8"/>
  <c r="AT39" i="8"/>
  <c r="B40" i="8"/>
  <c r="C40" i="8"/>
  <c r="D40" i="8"/>
  <c r="E40" i="8"/>
  <c r="F40" i="8"/>
  <c r="G40" i="8"/>
  <c r="G142" i="8" s="1"/>
  <c r="H40" i="8"/>
  <c r="I40" i="8"/>
  <c r="J40" i="8"/>
  <c r="K40" i="8"/>
  <c r="L40" i="8"/>
  <c r="M40" i="8"/>
  <c r="N40" i="8"/>
  <c r="O40" i="8"/>
  <c r="O142" i="8" s="1"/>
  <c r="P40" i="8"/>
  <c r="Q40" i="8"/>
  <c r="R40" i="8"/>
  <c r="S40" i="8"/>
  <c r="T40" i="8"/>
  <c r="U40" i="8"/>
  <c r="V40" i="8"/>
  <c r="W40" i="8"/>
  <c r="W142" i="8" s="1"/>
  <c r="X40" i="8"/>
  <c r="Y40" i="8"/>
  <c r="Z40" i="8"/>
  <c r="AA40" i="8"/>
  <c r="AB40" i="8"/>
  <c r="AC40" i="8"/>
  <c r="AD40" i="8"/>
  <c r="AE40" i="8"/>
  <c r="AE142" i="8" s="1"/>
  <c r="AF40" i="8"/>
  <c r="AG40" i="8"/>
  <c r="AH40" i="8"/>
  <c r="AI40" i="8"/>
  <c r="AJ40" i="8"/>
  <c r="AK40" i="8"/>
  <c r="AL40" i="8"/>
  <c r="AM40" i="8"/>
  <c r="AM142" i="8" s="1"/>
  <c r="AN40" i="8"/>
  <c r="AO40" i="8"/>
  <c r="AP40" i="8"/>
  <c r="AQ40" i="8"/>
  <c r="AR40" i="8"/>
  <c r="AS40" i="8"/>
  <c r="AT40" i="8"/>
  <c r="B41" i="8"/>
  <c r="B143" i="8" s="1"/>
  <c r="C41" i="8"/>
  <c r="D41" i="8"/>
  <c r="E41" i="8"/>
  <c r="F41" i="8"/>
  <c r="G41" i="8"/>
  <c r="H41" i="8"/>
  <c r="I41" i="8"/>
  <c r="J41" i="8"/>
  <c r="J143" i="8" s="1"/>
  <c r="K41" i="8"/>
  <c r="L41" i="8"/>
  <c r="M41" i="8"/>
  <c r="N41" i="8"/>
  <c r="O41" i="8"/>
  <c r="P41" i="8"/>
  <c r="Q41" i="8"/>
  <c r="R41" i="8"/>
  <c r="R143" i="8" s="1"/>
  <c r="S41" i="8"/>
  <c r="T41" i="8"/>
  <c r="U41" i="8"/>
  <c r="V41" i="8"/>
  <c r="W41" i="8"/>
  <c r="X41" i="8"/>
  <c r="Y41" i="8"/>
  <c r="Z41" i="8"/>
  <c r="Z143" i="8" s="1"/>
  <c r="AA41" i="8"/>
  <c r="AB41" i="8"/>
  <c r="AC41" i="8"/>
  <c r="AD41" i="8"/>
  <c r="AE41" i="8"/>
  <c r="AF41" i="8"/>
  <c r="AG41" i="8"/>
  <c r="AH41" i="8"/>
  <c r="AH143" i="8" s="1"/>
  <c r="AI41" i="8"/>
  <c r="AJ41" i="8"/>
  <c r="AK41" i="8"/>
  <c r="AL41" i="8"/>
  <c r="AM41" i="8"/>
  <c r="AN41" i="8"/>
  <c r="AO41" i="8"/>
  <c r="AP41" i="8"/>
  <c r="AP143" i="8" s="1"/>
  <c r="AQ41" i="8"/>
  <c r="AR41" i="8"/>
  <c r="AS41" i="8"/>
  <c r="AT41" i="8"/>
  <c r="B42" i="8"/>
  <c r="C42" i="8"/>
  <c r="D42" i="8"/>
  <c r="E42" i="8"/>
  <c r="E144" i="8" s="1"/>
  <c r="F42" i="8"/>
  <c r="G42" i="8"/>
  <c r="H42" i="8"/>
  <c r="I42" i="8"/>
  <c r="J42" i="8"/>
  <c r="K42" i="8"/>
  <c r="L42" i="8"/>
  <c r="M42" i="8"/>
  <c r="M144" i="8" s="1"/>
  <c r="N42" i="8"/>
  <c r="O42" i="8"/>
  <c r="P42" i="8"/>
  <c r="Q42" i="8"/>
  <c r="R42" i="8"/>
  <c r="S42" i="8"/>
  <c r="T42" i="8"/>
  <c r="U42" i="8"/>
  <c r="U144" i="8" s="1"/>
  <c r="V42" i="8"/>
  <c r="W42" i="8"/>
  <c r="X42" i="8"/>
  <c r="Y42" i="8"/>
  <c r="Z42" i="8"/>
  <c r="AA42" i="8"/>
  <c r="AB42" i="8"/>
  <c r="AC42" i="8"/>
  <c r="AC144" i="8" s="1"/>
  <c r="AD42" i="8"/>
  <c r="AE42" i="8"/>
  <c r="AF42" i="8"/>
  <c r="AG42" i="8"/>
  <c r="AH42" i="8"/>
  <c r="AI42" i="8"/>
  <c r="AJ42" i="8"/>
  <c r="AK42" i="8"/>
  <c r="AK144" i="8" s="1"/>
  <c r="AL42" i="8"/>
  <c r="AM42" i="8"/>
  <c r="AN42" i="8"/>
  <c r="AO42" i="8"/>
  <c r="AP42" i="8"/>
  <c r="AQ42" i="8"/>
  <c r="AR42" i="8"/>
  <c r="AS42" i="8"/>
  <c r="AS144" i="8" s="1"/>
  <c r="AT42" i="8"/>
  <c r="B43" i="8"/>
  <c r="C43" i="8"/>
  <c r="D43" i="8"/>
  <c r="E43" i="8"/>
  <c r="F43" i="8"/>
  <c r="G43" i="8"/>
  <c r="H43" i="8"/>
  <c r="H145" i="8" s="1"/>
  <c r="I43" i="8"/>
  <c r="J43" i="8"/>
  <c r="K43" i="8"/>
  <c r="L43" i="8"/>
  <c r="M43" i="8"/>
  <c r="N43" i="8"/>
  <c r="O43" i="8"/>
  <c r="P43" i="8"/>
  <c r="P145" i="8" s="1"/>
  <c r="Q43" i="8"/>
  <c r="R43" i="8"/>
  <c r="S43" i="8"/>
  <c r="T43" i="8"/>
  <c r="U43" i="8"/>
  <c r="V43" i="8"/>
  <c r="W43" i="8"/>
  <c r="X43" i="8"/>
  <c r="X145" i="8" s="1"/>
  <c r="Y43" i="8"/>
  <c r="Z43" i="8"/>
  <c r="AA43" i="8"/>
  <c r="AB43" i="8"/>
  <c r="AC43" i="8"/>
  <c r="AD43" i="8"/>
  <c r="AE43" i="8"/>
  <c r="AF43" i="8"/>
  <c r="AF145" i="8" s="1"/>
  <c r="AG43" i="8"/>
  <c r="AH43" i="8"/>
  <c r="AI43" i="8"/>
  <c r="AJ43" i="8"/>
  <c r="AK43" i="8"/>
  <c r="AL43" i="8"/>
  <c r="AM43" i="8"/>
  <c r="AN43" i="8"/>
  <c r="AN145" i="8" s="1"/>
  <c r="AO43" i="8"/>
  <c r="AP43" i="8"/>
  <c r="AQ43" i="8"/>
  <c r="AR43" i="8"/>
  <c r="AS43" i="8"/>
  <c r="AT43" i="8"/>
  <c r="B44" i="8"/>
  <c r="C44" i="8"/>
  <c r="C146" i="8" s="1"/>
  <c r="D44" i="8"/>
  <c r="E44" i="8"/>
  <c r="F44" i="8"/>
  <c r="G44" i="8"/>
  <c r="H44" i="8"/>
  <c r="I44" i="8"/>
  <c r="J44" i="8"/>
  <c r="K44" i="8"/>
  <c r="K146" i="8" s="1"/>
  <c r="L44" i="8"/>
  <c r="M44" i="8"/>
  <c r="N44" i="8"/>
  <c r="O44" i="8"/>
  <c r="P44" i="8"/>
  <c r="Q44" i="8"/>
  <c r="R44" i="8"/>
  <c r="S44" i="8"/>
  <c r="S146" i="8" s="1"/>
  <c r="T44" i="8"/>
  <c r="U44" i="8"/>
  <c r="V44" i="8"/>
  <c r="W44" i="8"/>
  <c r="X44" i="8"/>
  <c r="Y44" i="8"/>
  <c r="Z44" i="8"/>
  <c r="AA44" i="8"/>
  <c r="AA146" i="8" s="1"/>
  <c r="AB44" i="8"/>
  <c r="AC44" i="8"/>
  <c r="AD44" i="8"/>
  <c r="AE44" i="8"/>
  <c r="AF44" i="8"/>
  <c r="AG44" i="8"/>
  <c r="AH44" i="8"/>
  <c r="AI44" i="8"/>
  <c r="AI146" i="8" s="1"/>
  <c r="AJ44" i="8"/>
  <c r="AK44" i="8"/>
  <c r="AL44" i="8"/>
  <c r="AM44" i="8"/>
  <c r="AN44" i="8"/>
  <c r="AO44" i="8"/>
  <c r="AP44" i="8"/>
  <c r="AQ44" i="8"/>
  <c r="AQ146" i="8" s="1"/>
  <c r="AR44" i="8"/>
  <c r="AS44" i="8"/>
  <c r="AT44" i="8"/>
  <c r="B45" i="8"/>
  <c r="C45" i="8"/>
  <c r="D45" i="8"/>
  <c r="E45" i="8"/>
  <c r="F45" i="8"/>
  <c r="F147" i="8" s="1"/>
  <c r="G45" i="8"/>
  <c r="H45" i="8"/>
  <c r="I45" i="8"/>
  <c r="J45" i="8"/>
  <c r="K45" i="8"/>
  <c r="L45" i="8"/>
  <c r="M45" i="8"/>
  <c r="N45" i="8"/>
  <c r="N147" i="8" s="1"/>
  <c r="O45" i="8"/>
  <c r="P45" i="8"/>
  <c r="Q45" i="8"/>
  <c r="R45" i="8"/>
  <c r="S45" i="8"/>
  <c r="T45" i="8"/>
  <c r="U45" i="8"/>
  <c r="V45" i="8"/>
  <c r="V147" i="8" s="1"/>
  <c r="W45" i="8"/>
  <c r="X45" i="8"/>
  <c r="Y45" i="8"/>
  <c r="Z45" i="8"/>
  <c r="AA45" i="8"/>
  <c r="AB45" i="8"/>
  <c r="AC45" i="8"/>
  <c r="AD45" i="8"/>
  <c r="AD147" i="8" s="1"/>
  <c r="AE45" i="8"/>
  <c r="AF45" i="8"/>
  <c r="AG45" i="8"/>
  <c r="AH45" i="8"/>
  <c r="AI45" i="8"/>
  <c r="AJ45" i="8"/>
  <c r="AK45" i="8"/>
  <c r="AL45" i="8"/>
  <c r="AL147" i="8" s="1"/>
  <c r="AM45" i="8"/>
  <c r="AN45" i="8"/>
  <c r="AO45" i="8"/>
  <c r="AP45" i="8"/>
  <c r="AQ45" i="8"/>
  <c r="AR45" i="8"/>
  <c r="AS45" i="8"/>
  <c r="AT45" i="8"/>
  <c r="AT147" i="8" s="1"/>
  <c r="B46" i="8"/>
  <c r="C46" i="8"/>
  <c r="D46" i="8"/>
  <c r="E46" i="8"/>
  <c r="F46" i="8"/>
  <c r="G46" i="8"/>
  <c r="H46" i="8"/>
  <c r="I46" i="8"/>
  <c r="I148" i="8" s="1"/>
  <c r="J46" i="8"/>
  <c r="K46" i="8"/>
  <c r="L46" i="8"/>
  <c r="M46" i="8"/>
  <c r="N46" i="8"/>
  <c r="O46" i="8"/>
  <c r="P46" i="8"/>
  <c r="Q46" i="8"/>
  <c r="Q148" i="8" s="1"/>
  <c r="R46" i="8"/>
  <c r="S46" i="8"/>
  <c r="T46" i="8"/>
  <c r="U46" i="8"/>
  <c r="V46" i="8"/>
  <c r="W46" i="8"/>
  <c r="X46" i="8"/>
  <c r="Y46" i="8"/>
  <c r="Y148" i="8" s="1"/>
  <c r="Z46" i="8"/>
  <c r="AA46" i="8"/>
  <c r="AB46" i="8"/>
  <c r="AC46" i="8"/>
  <c r="AD46" i="8"/>
  <c r="AE46" i="8"/>
  <c r="AF46" i="8"/>
  <c r="AG46" i="8"/>
  <c r="AG148" i="8" s="1"/>
  <c r="AH46" i="8"/>
  <c r="AI46" i="8"/>
  <c r="AJ46" i="8"/>
  <c r="AK46" i="8"/>
  <c r="AL46" i="8"/>
  <c r="AM46" i="8"/>
  <c r="AN46" i="8"/>
  <c r="AO46" i="8"/>
  <c r="AO148" i="8" s="1"/>
  <c r="AP46" i="8"/>
  <c r="AQ46" i="8"/>
  <c r="AR46" i="8"/>
  <c r="AS46" i="8"/>
  <c r="AT46" i="8"/>
  <c r="B47" i="8"/>
  <c r="C47" i="8"/>
  <c r="D47" i="8"/>
  <c r="D149" i="8" s="1"/>
  <c r="E47" i="8"/>
  <c r="F47" i="8"/>
  <c r="G47" i="8"/>
  <c r="H47" i="8"/>
  <c r="I47" i="8"/>
  <c r="J47" i="8"/>
  <c r="K47" i="8"/>
  <c r="L47" i="8"/>
  <c r="L149" i="8" s="1"/>
  <c r="M47" i="8"/>
  <c r="N47" i="8"/>
  <c r="O47" i="8"/>
  <c r="P47" i="8"/>
  <c r="Q47" i="8"/>
  <c r="R47" i="8"/>
  <c r="S47" i="8"/>
  <c r="T47" i="8"/>
  <c r="T149" i="8" s="1"/>
  <c r="U47" i="8"/>
  <c r="V47" i="8"/>
  <c r="W47" i="8"/>
  <c r="X47" i="8"/>
  <c r="Y47" i="8"/>
  <c r="Z47" i="8"/>
  <c r="AA47" i="8"/>
  <c r="AB47" i="8"/>
  <c r="AB149" i="8" s="1"/>
  <c r="AC47" i="8"/>
  <c r="AD47" i="8"/>
  <c r="AE47" i="8"/>
  <c r="AF47" i="8"/>
  <c r="AG47" i="8"/>
  <c r="AH47" i="8"/>
  <c r="AI47" i="8"/>
  <c r="AJ47" i="8"/>
  <c r="AJ149" i="8" s="1"/>
  <c r="AK47" i="8"/>
  <c r="AL47" i="8"/>
  <c r="AM47" i="8"/>
  <c r="AN47" i="8"/>
  <c r="AO47" i="8"/>
  <c r="AP47" i="8"/>
  <c r="AQ47" i="8"/>
  <c r="AR47" i="8"/>
  <c r="AR149" i="8" s="1"/>
  <c r="AS47" i="8"/>
  <c r="AT47" i="8"/>
  <c r="B48" i="8"/>
  <c r="C48" i="8"/>
  <c r="D48" i="8"/>
  <c r="E48" i="8"/>
  <c r="F48" i="8"/>
  <c r="G48" i="8"/>
  <c r="G150" i="8" s="1"/>
  <c r="H48" i="8"/>
  <c r="I48" i="8"/>
  <c r="J48" i="8"/>
  <c r="K48" i="8"/>
  <c r="L48" i="8"/>
  <c r="M48" i="8"/>
  <c r="N48" i="8"/>
  <c r="O48" i="8"/>
  <c r="O150" i="8" s="1"/>
  <c r="P48" i="8"/>
  <c r="Q48" i="8"/>
  <c r="R48" i="8"/>
  <c r="S48" i="8"/>
  <c r="T48" i="8"/>
  <c r="U48" i="8"/>
  <c r="V48" i="8"/>
  <c r="W48" i="8"/>
  <c r="W150" i="8" s="1"/>
  <c r="X48" i="8"/>
  <c r="Y48" i="8"/>
  <c r="Z48" i="8"/>
  <c r="AA48" i="8"/>
  <c r="AB48" i="8"/>
  <c r="AC48" i="8"/>
  <c r="AD48" i="8"/>
  <c r="AE48" i="8"/>
  <c r="AE150" i="8" s="1"/>
  <c r="AF48" i="8"/>
  <c r="AG48" i="8"/>
  <c r="AH48" i="8"/>
  <c r="AI48" i="8"/>
  <c r="AJ48" i="8"/>
  <c r="AK48" i="8"/>
  <c r="AL48" i="8"/>
  <c r="AM48" i="8"/>
  <c r="AM150" i="8" s="1"/>
  <c r="AN48" i="8"/>
  <c r="AO48" i="8"/>
  <c r="AP48" i="8"/>
  <c r="AQ48" i="8"/>
  <c r="AR48" i="8"/>
  <c r="AS48" i="8"/>
  <c r="AT48" i="8"/>
  <c r="B49" i="8"/>
  <c r="B151" i="8" s="1"/>
  <c r="C49" i="8"/>
  <c r="D49" i="8"/>
  <c r="E49" i="8"/>
  <c r="F49" i="8"/>
  <c r="G49" i="8"/>
  <c r="H49" i="8"/>
  <c r="I49" i="8"/>
  <c r="J49" i="8"/>
  <c r="J151" i="8" s="1"/>
  <c r="K49" i="8"/>
  <c r="L49" i="8"/>
  <c r="M49" i="8"/>
  <c r="N49" i="8"/>
  <c r="O49" i="8"/>
  <c r="P49" i="8"/>
  <c r="Q49" i="8"/>
  <c r="R49" i="8"/>
  <c r="R151" i="8" s="1"/>
  <c r="S49" i="8"/>
  <c r="T49" i="8"/>
  <c r="U49" i="8"/>
  <c r="V49" i="8"/>
  <c r="W49" i="8"/>
  <c r="X49" i="8"/>
  <c r="Y49" i="8"/>
  <c r="Z49" i="8"/>
  <c r="Z151" i="8" s="1"/>
  <c r="AA49" i="8"/>
  <c r="AB49" i="8"/>
  <c r="AC49" i="8"/>
  <c r="AD49" i="8"/>
  <c r="AE49" i="8"/>
  <c r="AF49" i="8"/>
  <c r="AG49" i="8"/>
  <c r="AH49" i="8"/>
  <c r="AH151" i="8" s="1"/>
  <c r="AI49" i="8"/>
  <c r="AJ49" i="8"/>
  <c r="AK49" i="8"/>
  <c r="AL49" i="8"/>
  <c r="AM49" i="8"/>
  <c r="AN49" i="8"/>
  <c r="AO49" i="8"/>
  <c r="AP49" i="8"/>
  <c r="AP151" i="8" s="1"/>
  <c r="AQ49" i="8"/>
  <c r="AR49" i="8"/>
  <c r="AS49" i="8"/>
  <c r="AT49" i="8"/>
  <c r="B50" i="8"/>
  <c r="C50" i="8"/>
  <c r="D50" i="8"/>
  <c r="E50" i="8"/>
  <c r="E152" i="8" s="1"/>
  <c r="F50" i="8"/>
  <c r="G50" i="8"/>
  <c r="H50" i="8"/>
  <c r="I50" i="8"/>
  <c r="J50" i="8"/>
  <c r="K50" i="8"/>
  <c r="L50" i="8"/>
  <c r="M50" i="8"/>
  <c r="M152" i="8" s="1"/>
  <c r="N50" i="8"/>
  <c r="O50" i="8"/>
  <c r="P50" i="8"/>
  <c r="Q50" i="8"/>
  <c r="R50" i="8"/>
  <c r="S50" i="8"/>
  <c r="T50" i="8"/>
  <c r="U50" i="8"/>
  <c r="U152" i="8" s="1"/>
  <c r="V50" i="8"/>
  <c r="W50" i="8"/>
  <c r="X50" i="8"/>
  <c r="Y50" i="8"/>
  <c r="Z50" i="8"/>
  <c r="AA50" i="8"/>
  <c r="AB50" i="8"/>
  <c r="AC50" i="8"/>
  <c r="AC152" i="8" s="1"/>
  <c r="AD50" i="8"/>
  <c r="AE50" i="8"/>
  <c r="AF50" i="8"/>
  <c r="AG50" i="8"/>
  <c r="AH50" i="8"/>
  <c r="AI50" i="8"/>
  <c r="AJ50" i="8"/>
  <c r="AK50" i="8"/>
  <c r="AK152" i="8" s="1"/>
  <c r="AL50" i="8"/>
  <c r="AM50" i="8"/>
  <c r="AN50" i="8"/>
  <c r="AO50" i="8"/>
  <c r="AP50" i="8"/>
  <c r="AQ50" i="8"/>
  <c r="AR50" i="8"/>
  <c r="AS50" i="8"/>
  <c r="AS152" i="8" s="1"/>
  <c r="AT50" i="8"/>
  <c r="B108" i="8"/>
  <c r="C108" i="8"/>
  <c r="D108" i="8"/>
  <c r="E108" i="8"/>
  <c r="F108" i="8"/>
  <c r="G108" i="8"/>
  <c r="H108" i="8"/>
  <c r="J108" i="8"/>
  <c r="K108" i="8"/>
  <c r="L108" i="8"/>
  <c r="M108" i="8"/>
  <c r="N108" i="8"/>
  <c r="O108" i="8"/>
  <c r="P108" i="8"/>
  <c r="R108" i="8"/>
  <c r="S108" i="8"/>
  <c r="T108" i="8"/>
  <c r="U108" i="8"/>
  <c r="V108" i="8"/>
  <c r="W108" i="8"/>
  <c r="X108" i="8"/>
  <c r="Z108" i="8"/>
  <c r="AA108" i="8"/>
  <c r="AB108" i="8"/>
  <c r="AC108" i="8"/>
  <c r="AD108" i="8"/>
  <c r="AE108" i="8"/>
  <c r="AF108" i="8"/>
  <c r="AH108" i="8"/>
  <c r="AI108" i="8"/>
  <c r="AJ108" i="8"/>
  <c r="AK108" i="8"/>
  <c r="AL108" i="8"/>
  <c r="AM108" i="8"/>
  <c r="AN108" i="8"/>
  <c r="AP108" i="8"/>
  <c r="AQ108" i="8"/>
  <c r="AR108" i="8"/>
  <c r="AS108" i="8"/>
  <c r="AT108" i="8"/>
  <c r="B109" i="8"/>
  <c r="C109" i="8"/>
  <c r="E109" i="8"/>
  <c r="F109" i="8"/>
  <c r="G109" i="8"/>
  <c r="H109" i="8"/>
  <c r="I109" i="8"/>
  <c r="J109" i="8"/>
  <c r="K109" i="8"/>
  <c r="M109" i="8"/>
  <c r="N109" i="8"/>
  <c r="O109" i="8"/>
  <c r="P109" i="8"/>
  <c r="Q109" i="8"/>
  <c r="R109" i="8"/>
  <c r="S109" i="8"/>
  <c r="U109" i="8"/>
  <c r="V109" i="8"/>
  <c r="W109" i="8"/>
  <c r="X109" i="8"/>
  <c r="Y109" i="8"/>
  <c r="Z109" i="8"/>
  <c r="AA109" i="8"/>
  <c r="AC109" i="8"/>
  <c r="AD109" i="8"/>
  <c r="AE109" i="8"/>
  <c r="AF109" i="8"/>
  <c r="AG109" i="8"/>
  <c r="AH109" i="8"/>
  <c r="AI109" i="8"/>
  <c r="AK109" i="8"/>
  <c r="AL109" i="8"/>
  <c r="AM109" i="8"/>
  <c r="AN109" i="8"/>
  <c r="AO109" i="8"/>
  <c r="AP109" i="8"/>
  <c r="AQ109" i="8"/>
  <c r="AS109" i="8"/>
  <c r="AT109" i="8"/>
  <c r="B110" i="8"/>
  <c r="C110" i="8"/>
  <c r="D110" i="8"/>
  <c r="E110" i="8"/>
  <c r="F110" i="8"/>
  <c r="H110" i="8"/>
  <c r="I110" i="8"/>
  <c r="J110" i="8"/>
  <c r="K110" i="8"/>
  <c r="L110" i="8"/>
  <c r="M110" i="8"/>
  <c r="N110" i="8"/>
  <c r="P110" i="8"/>
  <c r="Q110" i="8"/>
  <c r="R110" i="8"/>
  <c r="S110" i="8"/>
  <c r="T110" i="8"/>
  <c r="U110" i="8"/>
  <c r="V110" i="8"/>
  <c r="X110" i="8"/>
  <c r="Y110" i="8"/>
  <c r="Z110" i="8"/>
  <c r="AA110" i="8"/>
  <c r="AB110" i="8"/>
  <c r="AC110" i="8"/>
  <c r="AD110" i="8"/>
  <c r="AF110" i="8"/>
  <c r="AG110" i="8"/>
  <c r="AH110" i="8"/>
  <c r="AI110" i="8"/>
  <c r="AJ110" i="8"/>
  <c r="AK110" i="8"/>
  <c r="AL110" i="8"/>
  <c r="AN110" i="8"/>
  <c r="AO110" i="8"/>
  <c r="AP110" i="8"/>
  <c r="AQ110" i="8"/>
  <c r="AR110" i="8"/>
  <c r="AS110" i="8"/>
  <c r="AT110" i="8"/>
  <c r="C111" i="8"/>
  <c r="D111" i="8"/>
  <c r="E111" i="8"/>
  <c r="F111" i="8"/>
  <c r="G111" i="8"/>
  <c r="H111" i="8"/>
  <c r="I111" i="8"/>
  <c r="K111" i="8"/>
  <c r="L111" i="8"/>
  <c r="M111" i="8"/>
  <c r="N111" i="8"/>
  <c r="O111" i="8"/>
  <c r="P111" i="8"/>
  <c r="Q111" i="8"/>
  <c r="S111" i="8"/>
  <c r="T111" i="8"/>
  <c r="U111" i="8"/>
  <c r="V111" i="8"/>
  <c r="W111" i="8"/>
  <c r="X111" i="8"/>
  <c r="Y111" i="8"/>
  <c r="AA111" i="8"/>
  <c r="AB111" i="8"/>
  <c r="AC111" i="8"/>
  <c r="AD111" i="8"/>
  <c r="AE111" i="8"/>
  <c r="AF111" i="8"/>
  <c r="AG111" i="8"/>
  <c r="AI111" i="8"/>
  <c r="AJ111" i="8"/>
  <c r="AK111" i="8"/>
  <c r="AL111" i="8"/>
  <c r="AM111" i="8"/>
  <c r="AN111" i="8"/>
  <c r="AO111" i="8"/>
  <c r="AQ111" i="8"/>
  <c r="AR111" i="8"/>
  <c r="AS111" i="8"/>
  <c r="AT111" i="8"/>
  <c r="B112" i="8"/>
  <c r="C112" i="8"/>
  <c r="D112" i="8"/>
  <c r="F112" i="8"/>
  <c r="G112" i="8"/>
  <c r="H112" i="8"/>
  <c r="I112" i="8"/>
  <c r="J112" i="8"/>
  <c r="K112" i="8"/>
  <c r="L112" i="8"/>
  <c r="N112" i="8"/>
  <c r="O112" i="8"/>
  <c r="P112" i="8"/>
  <c r="Q112" i="8"/>
  <c r="R112" i="8"/>
  <c r="S112" i="8"/>
  <c r="T112" i="8"/>
  <c r="V112" i="8"/>
  <c r="W112" i="8"/>
  <c r="X112" i="8"/>
  <c r="Y112" i="8"/>
  <c r="Z112" i="8"/>
  <c r="AA112" i="8"/>
  <c r="AB112" i="8"/>
  <c r="AD112" i="8"/>
  <c r="AE112" i="8"/>
  <c r="AF112" i="8"/>
  <c r="AG112" i="8"/>
  <c r="AH112" i="8"/>
  <c r="AI112" i="8"/>
  <c r="AJ112" i="8"/>
  <c r="AL112" i="8"/>
  <c r="AM112" i="8"/>
  <c r="AN112" i="8"/>
  <c r="AO112" i="8"/>
  <c r="AP112" i="8"/>
  <c r="AQ112" i="8"/>
  <c r="AR112" i="8"/>
  <c r="AT112" i="8"/>
  <c r="B113" i="8"/>
  <c r="C113" i="8"/>
  <c r="D113" i="8"/>
  <c r="E113" i="8"/>
  <c r="F113" i="8"/>
  <c r="G113" i="8"/>
  <c r="I113" i="8"/>
  <c r="J113" i="8"/>
  <c r="K113" i="8"/>
  <c r="L113" i="8"/>
  <c r="M113" i="8"/>
  <c r="N113" i="8"/>
  <c r="O113" i="8"/>
  <c r="Q113" i="8"/>
  <c r="R113" i="8"/>
  <c r="S113" i="8"/>
  <c r="T113" i="8"/>
  <c r="U113" i="8"/>
  <c r="V113" i="8"/>
  <c r="W113" i="8"/>
  <c r="Y113" i="8"/>
  <c r="Z113" i="8"/>
  <c r="AA113" i="8"/>
  <c r="AB113" i="8"/>
  <c r="AC113" i="8"/>
  <c r="AD113" i="8"/>
  <c r="AE113" i="8"/>
  <c r="AG113" i="8"/>
  <c r="AH113" i="8"/>
  <c r="AI113" i="8"/>
  <c r="AJ113" i="8"/>
  <c r="AK113" i="8"/>
  <c r="AL113" i="8"/>
  <c r="AM113" i="8"/>
  <c r="AO113" i="8"/>
  <c r="AP113" i="8"/>
  <c r="AQ113" i="8"/>
  <c r="AR113" i="8"/>
  <c r="AS113" i="8"/>
  <c r="AT113" i="8"/>
  <c r="B114" i="8"/>
  <c r="D114" i="8"/>
  <c r="E114" i="8"/>
  <c r="F114" i="8"/>
  <c r="G114" i="8"/>
  <c r="H114" i="8"/>
  <c r="I114" i="8"/>
  <c r="J114" i="8"/>
  <c r="L114" i="8"/>
  <c r="M114" i="8"/>
  <c r="N114" i="8"/>
  <c r="O114" i="8"/>
  <c r="P114" i="8"/>
  <c r="Q114" i="8"/>
  <c r="R114" i="8"/>
  <c r="T114" i="8"/>
  <c r="U114" i="8"/>
  <c r="V114" i="8"/>
  <c r="W114" i="8"/>
  <c r="X114" i="8"/>
  <c r="Y114" i="8"/>
  <c r="Z114" i="8"/>
  <c r="AB114" i="8"/>
  <c r="AC114" i="8"/>
  <c r="AD114" i="8"/>
  <c r="AE114" i="8"/>
  <c r="AF114" i="8"/>
  <c r="AG114" i="8"/>
  <c r="AH114" i="8"/>
  <c r="AJ114" i="8"/>
  <c r="AK114" i="8"/>
  <c r="AL114" i="8"/>
  <c r="AM114" i="8"/>
  <c r="AN114" i="8"/>
  <c r="AO114" i="8"/>
  <c r="AP114" i="8"/>
  <c r="AR114" i="8"/>
  <c r="AS114" i="8"/>
  <c r="AT114" i="8"/>
  <c r="B115" i="8"/>
  <c r="C115" i="8"/>
  <c r="D115" i="8"/>
  <c r="E115" i="8"/>
  <c r="G115" i="8"/>
  <c r="H115" i="8"/>
  <c r="I115" i="8"/>
  <c r="J115" i="8"/>
  <c r="K115" i="8"/>
  <c r="L115" i="8"/>
  <c r="M115" i="8"/>
  <c r="O115" i="8"/>
  <c r="P115" i="8"/>
  <c r="Q115" i="8"/>
  <c r="R115" i="8"/>
  <c r="S115" i="8"/>
  <c r="T115" i="8"/>
  <c r="U115" i="8"/>
  <c r="W115" i="8"/>
  <c r="X115" i="8"/>
  <c r="Y115" i="8"/>
  <c r="Z115" i="8"/>
  <c r="AA115" i="8"/>
  <c r="AB115" i="8"/>
  <c r="AC115" i="8"/>
  <c r="AE115" i="8"/>
  <c r="AF115" i="8"/>
  <c r="AG115" i="8"/>
  <c r="AH115" i="8"/>
  <c r="AI115" i="8"/>
  <c r="AJ115" i="8"/>
  <c r="AK115" i="8"/>
  <c r="AM115" i="8"/>
  <c r="AN115" i="8"/>
  <c r="AO115" i="8"/>
  <c r="AP115" i="8"/>
  <c r="AQ115" i="8"/>
  <c r="AR115" i="8"/>
  <c r="AS115" i="8"/>
  <c r="B116" i="8"/>
  <c r="C116" i="8"/>
  <c r="D116" i="8"/>
  <c r="E116" i="8"/>
  <c r="F116" i="8"/>
  <c r="G116" i="8"/>
  <c r="H116" i="8"/>
  <c r="J116" i="8"/>
  <c r="K116" i="8"/>
  <c r="L116" i="8"/>
  <c r="M116" i="8"/>
  <c r="N116" i="8"/>
  <c r="O116" i="8"/>
  <c r="P116" i="8"/>
  <c r="R116" i="8"/>
  <c r="S116" i="8"/>
  <c r="T116" i="8"/>
  <c r="U116" i="8"/>
  <c r="V116" i="8"/>
  <c r="W116" i="8"/>
  <c r="X116" i="8"/>
  <c r="Z116" i="8"/>
  <c r="AA116" i="8"/>
  <c r="AB116" i="8"/>
  <c r="AC116" i="8"/>
  <c r="AD116" i="8"/>
  <c r="AE116" i="8"/>
  <c r="AF116" i="8"/>
  <c r="AH116" i="8"/>
  <c r="AI116" i="8"/>
  <c r="AJ116" i="8"/>
  <c r="AK116" i="8"/>
  <c r="AL116" i="8"/>
  <c r="AM116" i="8"/>
  <c r="AN116" i="8"/>
  <c r="AP116" i="8"/>
  <c r="AQ116" i="8"/>
  <c r="AR116" i="8"/>
  <c r="AS116" i="8"/>
  <c r="AT116" i="8"/>
  <c r="B117" i="8"/>
  <c r="C117" i="8"/>
  <c r="E117" i="8"/>
  <c r="F117" i="8"/>
  <c r="G117" i="8"/>
  <c r="H117" i="8"/>
  <c r="I117" i="8"/>
  <c r="J117" i="8"/>
  <c r="K117" i="8"/>
  <c r="M117" i="8"/>
  <c r="N117" i="8"/>
  <c r="O117" i="8"/>
  <c r="P117" i="8"/>
  <c r="Q117" i="8"/>
  <c r="R117" i="8"/>
  <c r="S117" i="8"/>
  <c r="U117" i="8"/>
  <c r="V117" i="8"/>
  <c r="W117" i="8"/>
  <c r="X117" i="8"/>
  <c r="Y117" i="8"/>
  <c r="Z117" i="8"/>
  <c r="AA117" i="8"/>
  <c r="AC117" i="8"/>
  <c r="AD117" i="8"/>
  <c r="AE117" i="8"/>
  <c r="AF117" i="8"/>
  <c r="AG117" i="8"/>
  <c r="AH117" i="8"/>
  <c r="AI117" i="8"/>
  <c r="AK117" i="8"/>
  <c r="AL117" i="8"/>
  <c r="AM117" i="8"/>
  <c r="AN117" i="8"/>
  <c r="AO117" i="8"/>
  <c r="AP117" i="8"/>
  <c r="AQ117" i="8"/>
  <c r="AS117" i="8"/>
  <c r="AT117" i="8"/>
  <c r="B118" i="8"/>
  <c r="C118" i="8"/>
  <c r="D118" i="8"/>
  <c r="E118" i="8"/>
  <c r="F118" i="8"/>
  <c r="H118" i="8"/>
  <c r="I118" i="8"/>
  <c r="J118" i="8"/>
  <c r="K118" i="8"/>
  <c r="L118" i="8"/>
  <c r="M118" i="8"/>
  <c r="N118" i="8"/>
  <c r="P118" i="8"/>
  <c r="Q118" i="8"/>
  <c r="R118" i="8"/>
  <c r="S118" i="8"/>
  <c r="T118" i="8"/>
  <c r="U118" i="8"/>
  <c r="V118" i="8"/>
  <c r="X118" i="8"/>
  <c r="Y118" i="8"/>
  <c r="Z118" i="8"/>
  <c r="AA118" i="8"/>
  <c r="AB118" i="8"/>
  <c r="AC118" i="8"/>
  <c r="AD118" i="8"/>
  <c r="AF118" i="8"/>
  <c r="AG118" i="8"/>
  <c r="AH118" i="8"/>
  <c r="AI118" i="8"/>
  <c r="AJ118" i="8"/>
  <c r="AK118" i="8"/>
  <c r="AL118" i="8"/>
  <c r="AN118" i="8"/>
  <c r="AO118" i="8"/>
  <c r="AP118" i="8"/>
  <c r="AQ118" i="8"/>
  <c r="AR118" i="8"/>
  <c r="AS118" i="8"/>
  <c r="AT118" i="8"/>
  <c r="C119" i="8"/>
  <c r="D119" i="8"/>
  <c r="E119" i="8"/>
  <c r="F119" i="8"/>
  <c r="G119" i="8"/>
  <c r="H119" i="8"/>
  <c r="I119" i="8"/>
  <c r="K119" i="8"/>
  <c r="L119" i="8"/>
  <c r="M119" i="8"/>
  <c r="N119" i="8"/>
  <c r="O119" i="8"/>
  <c r="P119" i="8"/>
  <c r="Q119" i="8"/>
  <c r="S119" i="8"/>
  <c r="T119" i="8"/>
  <c r="U119" i="8"/>
  <c r="V119" i="8"/>
  <c r="W119" i="8"/>
  <c r="X119" i="8"/>
  <c r="Y119" i="8"/>
  <c r="AA119" i="8"/>
  <c r="AB119" i="8"/>
  <c r="AC119" i="8"/>
  <c r="AD119" i="8"/>
  <c r="AE119" i="8"/>
  <c r="AF119" i="8"/>
  <c r="AG119" i="8"/>
  <c r="AI119" i="8"/>
  <c r="AJ119" i="8"/>
  <c r="AK119" i="8"/>
  <c r="AL119" i="8"/>
  <c r="AM119" i="8"/>
  <c r="AN119" i="8"/>
  <c r="AO119" i="8"/>
  <c r="AQ119" i="8"/>
  <c r="AR119" i="8"/>
  <c r="AS119" i="8"/>
  <c r="AT119" i="8"/>
  <c r="B120" i="8"/>
  <c r="C120" i="8"/>
  <c r="D120" i="8"/>
  <c r="F120" i="8"/>
  <c r="G120" i="8"/>
  <c r="H120" i="8"/>
  <c r="I120" i="8"/>
  <c r="J120" i="8"/>
  <c r="K120" i="8"/>
  <c r="L120" i="8"/>
  <c r="N120" i="8"/>
  <c r="O120" i="8"/>
  <c r="P120" i="8"/>
  <c r="Q120" i="8"/>
  <c r="R120" i="8"/>
  <c r="S120" i="8"/>
  <c r="T120" i="8"/>
  <c r="V120" i="8"/>
  <c r="W120" i="8"/>
  <c r="X120" i="8"/>
  <c r="Y120" i="8"/>
  <c r="Z120" i="8"/>
  <c r="AA120" i="8"/>
  <c r="AB120" i="8"/>
  <c r="AD120" i="8"/>
  <c r="AE120" i="8"/>
  <c r="AF120" i="8"/>
  <c r="AG120" i="8"/>
  <c r="AH120" i="8"/>
  <c r="AI120" i="8"/>
  <c r="AJ120" i="8"/>
  <c r="AL120" i="8"/>
  <c r="AM120" i="8"/>
  <c r="AN120" i="8"/>
  <c r="AO120" i="8"/>
  <c r="AP120" i="8"/>
  <c r="AQ120" i="8"/>
  <c r="AR120" i="8"/>
  <c r="AT120" i="8"/>
  <c r="B121" i="8"/>
  <c r="C121" i="8"/>
  <c r="D121" i="8"/>
  <c r="E121" i="8"/>
  <c r="F121" i="8"/>
  <c r="G121" i="8"/>
  <c r="I121" i="8"/>
  <c r="J121" i="8"/>
  <c r="K121" i="8"/>
  <c r="L121" i="8"/>
  <c r="M121" i="8"/>
  <c r="N121" i="8"/>
  <c r="O121" i="8"/>
  <c r="Q121" i="8"/>
  <c r="R121" i="8"/>
  <c r="S121" i="8"/>
  <c r="T121" i="8"/>
  <c r="U121" i="8"/>
  <c r="V121" i="8"/>
  <c r="W121" i="8"/>
  <c r="Y121" i="8"/>
  <c r="Z121" i="8"/>
  <c r="AA121" i="8"/>
  <c r="AB121" i="8"/>
  <c r="AC121" i="8"/>
  <c r="AD121" i="8"/>
  <c r="AE121" i="8"/>
  <c r="AG121" i="8"/>
  <c r="AH121" i="8"/>
  <c r="AI121" i="8"/>
  <c r="AJ121" i="8"/>
  <c r="AK121" i="8"/>
  <c r="AL121" i="8"/>
  <c r="AM121" i="8"/>
  <c r="AO121" i="8"/>
  <c r="AP121" i="8"/>
  <c r="AQ121" i="8"/>
  <c r="AR121" i="8"/>
  <c r="AS121" i="8"/>
  <c r="AT121" i="8"/>
  <c r="B122" i="8"/>
  <c r="D122" i="8"/>
  <c r="E122" i="8"/>
  <c r="F122" i="8"/>
  <c r="G122" i="8"/>
  <c r="H122" i="8"/>
  <c r="I122" i="8"/>
  <c r="J122" i="8"/>
  <c r="L122" i="8"/>
  <c r="M122" i="8"/>
  <c r="N122" i="8"/>
  <c r="O122" i="8"/>
  <c r="P122" i="8"/>
  <c r="Q122" i="8"/>
  <c r="R122" i="8"/>
  <c r="T122" i="8"/>
  <c r="U122" i="8"/>
  <c r="V122" i="8"/>
  <c r="W122" i="8"/>
  <c r="X122" i="8"/>
  <c r="Y122" i="8"/>
  <c r="Z122" i="8"/>
  <c r="AB122" i="8"/>
  <c r="AC122" i="8"/>
  <c r="AD122" i="8"/>
  <c r="AE122" i="8"/>
  <c r="AF122" i="8"/>
  <c r="AG122" i="8"/>
  <c r="AH122" i="8"/>
  <c r="AJ122" i="8"/>
  <c r="AK122" i="8"/>
  <c r="AL122" i="8"/>
  <c r="AM122" i="8"/>
  <c r="AN122" i="8"/>
  <c r="AO122" i="8"/>
  <c r="AP122" i="8"/>
  <c r="AR122" i="8"/>
  <c r="AS122" i="8"/>
  <c r="AT122" i="8"/>
  <c r="B123" i="8"/>
  <c r="C123" i="8"/>
  <c r="D123" i="8"/>
  <c r="E123" i="8"/>
  <c r="G123" i="8"/>
  <c r="H123" i="8"/>
  <c r="I123" i="8"/>
  <c r="J123" i="8"/>
  <c r="K123" i="8"/>
  <c r="L123" i="8"/>
  <c r="M123" i="8"/>
  <c r="O123" i="8"/>
  <c r="P123" i="8"/>
  <c r="Q123" i="8"/>
  <c r="R123" i="8"/>
  <c r="S123" i="8"/>
  <c r="T123" i="8"/>
  <c r="U123" i="8"/>
  <c r="W123" i="8"/>
  <c r="X123" i="8"/>
  <c r="Y123" i="8"/>
  <c r="Z123" i="8"/>
  <c r="AA123" i="8"/>
  <c r="AB123" i="8"/>
  <c r="AC123" i="8"/>
  <c r="AE123" i="8"/>
  <c r="AF123" i="8"/>
  <c r="AG123" i="8"/>
  <c r="AH123" i="8"/>
  <c r="AI123" i="8"/>
  <c r="AJ123" i="8"/>
  <c r="AK123" i="8"/>
  <c r="AM123" i="8"/>
  <c r="AN123" i="8"/>
  <c r="AO123" i="8"/>
  <c r="AP123" i="8"/>
  <c r="AQ123" i="8"/>
  <c r="AR123" i="8"/>
  <c r="AS123" i="8"/>
  <c r="B124" i="8"/>
  <c r="C124" i="8"/>
  <c r="D124" i="8"/>
  <c r="E124" i="8"/>
  <c r="F124" i="8"/>
  <c r="G124" i="8"/>
  <c r="H124" i="8"/>
  <c r="J124" i="8"/>
  <c r="K124" i="8"/>
  <c r="L124" i="8"/>
  <c r="M124" i="8"/>
  <c r="N124" i="8"/>
  <c r="O124" i="8"/>
  <c r="P124" i="8"/>
  <c r="R124" i="8"/>
  <c r="S124" i="8"/>
  <c r="T124" i="8"/>
  <c r="U124" i="8"/>
  <c r="V124" i="8"/>
  <c r="W124" i="8"/>
  <c r="X124" i="8"/>
  <c r="Z124" i="8"/>
  <c r="AA124" i="8"/>
  <c r="AB124" i="8"/>
  <c r="AC124" i="8"/>
  <c r="AD124" i="8"/>
  <c r="AE124" i="8"/>
  <c r="AF124" i="8"/>
  <c r="AH124" i="8"/>
  <c r="AI124" i="8"/>
  <c r="AJ124" i="8"/>
  <c r="AK124" i="8"/>
  <c r="AL124" i="8"/>
  <c r="AM124" i="8"/>
  <c r="AN124" i="8"/>
  <c r="AP124" i="8"/>
  <c r="AQ124" i="8"/>
  <c r="AR124" i="8"/>
  <c r="AS124" i="8"/>
  <c r="AT124" i="8"/>
  <c r="B125" i="8"/>
  <c r="C125" i="8"/>
  <c r="E125" i="8"/>
  <c r="F125" i="8"/>
  <c r="G125" i="8"/>
  <c r="H125" i="8"/>
  <c r="I125" i="8"/>
  <c r="J125" i="8"/>
  <c r="K125" i="8"/>
  <c r="M125" i="8"/>
  <c r="N125" i="8"/>
  <c r="O125" i="8"/>
  <c r="P125" i="8"/>
  <c r="Q125" i="8"/>
  <c r="R125" i="8"/>
  <c r="S125" i="8"/>
  <c r="U125" i="8"/>
  <c r="V125" i="8"/>
  <c r="W125" i="8"/>
  <c r="X125" i="8"/>
  <c r="Y125" i="8"/>
  <c r="Z125" i="8"/>
  <c r="AA125" i="8"/>
  <c r="AC125" i="8"/>
  <c r="AD125" i="8"/>
  <c r="AE125" i="8"/>
  <c r="AF125" i="8"/>
  <c r="AG125" i="8"/>
  <c r="AH125" i="8"/>
  <c r="AI125" i="8"/>
  <c r="AK125" i="8"/>
  <c r="AL125" i="8"/>
  <c r="AM125" i="8"/>
  <c r="AN125" i="8"/>
  <c r="AO125" i="8"/>
  <c r="AP125" i="8"/>
  <c r="AQ125" i="8"/>
  <c r="AS125" i="8"/>
  <c r="AT125" i="8"/>
  <c r="B126" i="8"/>
  <c r="C126" i="8"/>
  <c r="D126" i="8"/>
  <c r="E126" i="8"/>
  <c r="F126" i="8"/>
  <c r="H126" i="8"/>
  <c r="I126" i="8"/>
  <c r="J126" i="8"/>
  <c r="K126" i="8"/>
  <c r="L126" i="8"/>
  <c r="M126" i="8"/>
  <c r="N126" i="8"/>
  <c r="P126" i="8"/>
  <c r="Q126" i="8"/>
  <c r="R126" i="8"/>
  <c r="S126" i="8"/>
  <c r="T126" i="8"/>
  <c r="U126" i="8"/>
  <c r="V126" i="8"/>
  <c r="X126" i="8"/>
  <c r="Y126" i="8"/>
  <c r="Z126" i="8"/>
  <c r="AA126" i="8"/>
  <c r="AB126" i="8"/>
  <c r="AC126" i="8"/>
  <c r="AD126" i="8"/>
  <c r="AF126" i="8"/>
  <c r="AG126" i="8"/>
  <c r="AH126" i="8"/>
  <c r="AI126" i="8"/>
  <c r="AJ126" i="8"/>
  <c r="AK126" i="8"/>
  <c r="AL126" i="8"/>
  <c r="AN126" i="8"/>
  <c r="AO126" i="8"/>
  <c r="AP126" i="8"/>
  <c r="AQ126" i="8"/>
  <c r="AR126" i="8"/>
  <c r="AS126" i="8"/>
  <c r="AT126" i="8"/>
  <c r="C127" i="8"/>
  <c r="D127" i="8"/>
  <c r="E127" i="8"/>
  <c r="F127" i="8"/>
  <c r="G127" i="8"/>
  <c r="H127" i="8"/>
  <c r="I127" i="8"/>
  <c r="K127" i="8"/>
  <c r="L127" i="8"/>
  <c r="M127" i="8"/>
  <c r="N127" i="8"/>
  <c r="O127" i="8"/>
  <c r="P127" i="8"/>
  <c r="Q127" i="8"/>
  <c r="S127" i="8"/>
  <c r="T127" i="8"/>
  <c r="U127" i="8"/>
  <c r="V127" i="8"/>
  <c r="W127" i="8"/>
  <c r="X127" i="8"/>
  <c r="Y127" i="8"/>
  <c r="AA127" i="8"/>
  <c r="AB127" i="8"/>
  <c r="AC127" i="8"/>
  <c r="AD127" i="8"/>
  <c r="AE127" i="8"/>
  <c r="AF127" i="8"/>
  <c r="AG127" i="8"/>
  <c r="AI127" i="8"/>
  <c r="AJ127" i="8"/>
  <c r="AK127" i="8"/>
  <c r="AL127" i="8"/>
  <c r="AM127" i="8"/>
  <c r="AN127" i="8"/>
  <c r="AO127" i="8"/>
  <c r="AQ127" i="8"/>
  <c r="AR127" i="8"/>
  <c r="AS127" i="8"/>
  <c r="AT127" i="8"/>
  <c r="B128" i="8"/>
  <c r="C128" i="8"/>
  <c r="D128" i="8"/>
  <c r="F128" i="8"/>
  <c r="G128" i="8"/>
  <c r="H128" i="8"/>
  <c r="I128" i="8"/>
  <c r="J128" i="8"/>
  <c r="K128" i="8"/>
  <c r="L128" i="8"/>
  <c r="N128" i="8"/>
  <c r="O128" i="8"/>
  <c r="P128" i="8"/>
  <c r="Q128" i="8"/>
  <c r="R128" i="8"/>
  <c r="S128" i="8"/>
  <c r="T128" i="8"/>
  <c r="V128" i="8"/>
  <c r="W128" i="8"/>
  <c r="X128" i="8"/>
  <c r="Y128" i="8"/>
  <c r="Z128" i="8"/>
  <c r="AA128" i="8"/>
  <c r="AB128" i="8"/>
  <c r="AD128" i="8"/>
  <c r="AE128" i="8"/>
  <c r="AF128" i="8"/>
  <c r="AG128" i="8"/>
  <c r="AH128" i="8"/>
  <c r="AI128" i="8"/>
  <c r="AJ128" i="8"/>
  <c r="AL128" i="8"/>
  <c r="AM128" i="8"/>
  <c r="AN128" i="8"/>
  <c r="AO128" i="8"/>
  <c r="AP128" i="8"/>
  <c r="AQ128" i="8"/>
  <c r="AR128" i="8"/>
  <c r="AT128" i="8"/>
  <c r="B129" i="8"/>
  <c r="C129" i="8"/>
  <c r="D129" i="8"/>
  <c r="E129" i="8"/>
  <c r="F129" i="8"/>
  <c r="G129" i="8"/>
  <c r="I129" i="8"/>
  <c r="J129" i="8"/>
  <c r="K129" i="8"/>
  <c r="L129" i="8"/>
  <c r="M129" i="8"/>
  <c r="N129" i="8"/>
  <c r="O129" i="8"/>
  <c r="Q129" i="8"/>
  <c r="R129" i="8"/>
  <c r="S129" i="8"/>
  <c r="T129" i="8"/>
  <c r="U129" i="8"/>
  <c r="V129" i="8"/>
  <c r="W129" i="8"/>
  <c r="Y129" i="8"/>
  <c r="Z129" i="8"/>
  <c r="AA129" i="8"/>
  <c r="AB129" i="8"/>
  <c r="AC129" i="8"/>
  <c r="AD129" i="8"/>
  <c r="AE129" i="8"/>
  <c r="AG129" i="8"/>
  <c r="AH129" i="8"/>
  <c r="AI129" i="8"/>
  <c r="AJ129" i="8"/>
  <c r="AK129" i="8"/>
  <c r="AL129" i="8"/>
  <c r="AM129" i="8"/>
  <c r="AO129" i="8"/>
  <c r="AP129" i="8"/>
  <c r="AQ129" i="8"/>
  <c r="AR129" i="8"/>
  <c r="AS129" i="8"/>
  <c r="AT129" i="8"/>
  <c r="B130" i="8"/>
  <c r="D130" i="8"/>
  <c r="E130" i="8"/>
  <c r="F130" i="8"/>
  <c r="G130" i="8"/>
  <c r="H130" i="8"/>
  <c r="I130" i="8"/>
  <c r="J130" i="8"/>
  <c r="L130" i="8"/>
  <c r="M130" i="8"/>
  <c r="N130" i="8"/>
  <c r="O130" i="8"/>
  <c r="P130" i="8"/>
  <c r="Q130" i="8"/>
  <c r="R130" i="8"/>
  <c r="T130" i="8"/>
  <c r="U130" i="8"/>
  <c r="V130" i="8"/>
  <c r="W130" i="8"/>
  <c r="X130" i="8"/>
  <c r="Y130" i="8"/>
  <c r="Z130" i="8"/>
  <c r="AB130" i="8"/>
  <c r="AC130" i="8"/>
  <c r="AD130" i="8"/>
  <c r="AE130" i="8"/>
  <c r="AF130" i="8"/>
  <c r="AG130" i="8"/>
  <c r="AH130" i="8"/>
  <c r="AJ130" i="8"/>
  <c r="AK130" i="8"/>
  <c r="AL130" i="8"/>
  <c r="AM130" i="8"/>
  <c r="AN130" i="8"/>
  <c r="AO130" i="8"/>
  <c r="AP130" i="8"/>
  <c r="AR130" i="8"/>
  <c r="AS130" i="8"/>
  <c r="AT130" i="8"/>
  <c r="B131" i="8"/>
  <c r="C131" i="8"/>
  <c r="D131" i="8"/>
  <c r="E131" i="8"/>
  <c r="G131" i="8"/>
  <c r="H131" i="8"/>
  <c r="I131" i="8"/>
  <c r="J131" i="8"/>
  <c r="K131" i="8"/>
  <c r="L131" i="8"/>
  <c r="M131" i="8"/>
  <c r="O131" i="8"/>
  <c r="P131" i="8"/>
  <c r="Q131" i="8"/>
  <c r="R131" i="8"/>
  <c r="S131" i="8"/>
  <c r="T131" i="8"/>
  <c r="U131" i="8"/>
  <c r="W131" i="8"/>
  <c r="X131" i="8"/>
  <c r="Y131" i="8"/>
  <c r="Z131" i="8"/>
  <c r="AA131" i="8"/>
  <c r="AB131" i="8"/>
  <c r="AC131" i="8"/>
  <c r="AE131" i="8"/>
  <c r="AF131" i="8"/>
  <c r="AG131" i="8"/>
  <c r="AH131" i="8"/>
  <c r="AI131" i="8"/>
  <c r="AJ131" i="8"/>
  <c r="AK131" i="8"/>
  <c r="AM131" i="8"/>
  <c r="AN131" i="8"/>
  <c r="AO131" i="8"/>
  <c r="AP131" i="8"/>
  <c r="AQ131" i="8"/>
  <c r="AR131" i="8"/>
  <c r="AS131" i="8"/>
  <c r="B132" i="8"/>
  <c r="C132" i="8"/>
  <c r="D132" i="8"/>
  <c r="E132" i="8"/>
  <c r="F132" i="8"/>
  <c r="G132" i="8"/>
  <c r="H132" i="8"/>
  <c r="J132" i="8"/>
  <c r="K132" i="8"/>
  <c r="L132" i="8"/>
  <c r="M132" i="8"/>
  <c r="N132" i="8"/>
  <c r="O132" i="8"/>
  <c r="P132" i="8"/>
  <c r="R132" i="8"/>
  <c r="S132" i="8"/>
  <c r="T132" i="8"/>
  <c r="U132" i="8"/>
  <c r="V132" i="8"/>
  <c r="W132" i="8"/>
  <c r="X132" i="8"/>
  <c r="Z132" i="8"/>
  <c r="AA132" i="8"/>
  <c r="AB132" i="8"/>
  <c r="AC132" i="8"/>
  <c r="AD132" i="8"/>
  <c r="AE132" i="8"/>
  <c r="AF132" i="8"/>
  <c r="AH132" i="8"/>
  <c r="AI132" i="8"/>
  <c r="AJ132" i="8"/>
  <c r="AK132" i="8"/>
  <c r="AL132" i="8"/>
  <c r="AM132" i="8"/>
  <c r="AN132" i="8"/>
  <c r="AP132" i="8"/>
  <c r="AQ132" i="8"/>
  <c r="AR132" i="8"/>
  <c r="AS132" i="8"/>
  <c r="AT132" i="8"/>
  <c r="B133" i="8"/>
  <c r="C133" i="8"/>
  <c r="E133" i="8"/>
  <c r="F133" i="8"/>
  <c r="G133" i="8"/>
  <c r="H133" i="8"/>
  <c r="I133" i="8"/>
  <c r="J133" i="8"/>
  <c r="K133" i="8"/>
  <c r="M133" i="8"/>
  <c r="N133" i="8"/>
  <c r="O133" i="8"/>
  <c r="P133" i="8"/>
  <c r="Q133" i="8"/>
  <c r="R133" i="8"/>
  <c r="S133" i="8"/>
  <c r="U133" i="8"/>
  <c r="V133" i="8"/>
  <c r="W133" i="8"/>
  <c r="X133" i="8"/>
  <c r="Y133" i="8"/>
  <c r="Z133" i="8"/>
  <c r="AA133" i="8"/>
  <c r="AC133" i="8"/>
  <c r="AD133" i="8"/>
  <c r="AE133" i="8"/>
  <c r="AF133" i="8"/>
  <c r="AG133" i="8"/>
  <c r="AH133" i="8"/>
  <c r="AI133" i="8"/>
  <c r="AK133" i="8"/>
  <c r="AL133" i="8"/>
  <c r="AM133" i="8"/>
  <c r="AN133" i="8"/>
  <c r="AO133" i="8"/>
  <c r="AP133" i="8"/>
  <c r="AQ133" i="8"/>
  <c r="AS133" i="8"/>
  <c r="AT133" i="8"/>
  <c r="B134" i="8"/>
  <c r="C134" i="8"/>
  <c r="D134" i="8"/>
  <c r="E134" i="8"/>
  <c r="F134" i="8"/>
  <c r="H134" i="8"/>
  <c r="I134" i="8"/>
  <c r="J134" i="8"/>
  <c r="K134" i="8"/>
  <c r="L134" i="8"/>
  <c r="M134" i="8"/>
  <c r="N134" i="8"/>
  <c r="P134" i="8"/>
  <c r="Q134" i="8"/>
  <c r="R134" i="8"/>
  <c r="S134" i="8"/>
  <c r="T134" i="8"/>
  <c r="U134" i="8"/>
  <c r="V134" i="8"/>
  <c r="X134" i="8"/>
  <c r="Y134" i="8"/>
  <c r="Z134" i="8"/>
  <c r="AA134" i="8"/>
  <c r="AB134" i="8"/>
  <c r="AC134" i="8"/>
  <c r="AD134" i="8"/>
  <c r="AF134" i="8"/>
  <c r="AG134" i="8"/>
  <c r="AH134" i="8"/>
  <c r="AI134" i="8"/>
  <c r="AJ134" i="8"/>
  <c r="AK134" i="8"/>
  <c r="AL134" i="8"/>
  <c r="AN134" i="8"/>
  <c r="AO134" i="8"/>
  <c r="AP134" i="8"/>
  <c r="AQ134" i="8"/>
  <c r="AR134" i="8"/>
  <c r="AS134" i="8"/>
  <c r="AT134" i="8"/>
  <c r="C135" i="8"/>
  <c r="D135" i="8"/>
  <c r="E135" i="8"/>
  <c r="F135" i="8"/>
  <c r="G135" i="8"/>
  <c r="H135" i="8"/>
  <c r="I135" i="8"/>
  <c r="K135" i="8"/>
  <c r="L135" i="8"/>
  <c r="M135" i="8"/>
  <c r="N135" i="8"/>
  <c r="O135" i="8"/>
  <c r="P135" i="8"/>
  <c r="Q135" i="8"/>
  <c r="S135" i="8"/>
  <c r="T135" i="8"/>
  <c r="U135" i="8"/>
  <c r="V135" i="8"/>
  <c r="W135" i="8"/>
  <c r="X135" i="8"/>
  <c r="Y135" i="8"/>
  <c r="AA135" i="8"/>
  <c r="AB135" i="8"/>
  <c r="AC135" i="8"/>
  <c r="AD135" i="8"/>
  <c r="AE135" i="8"/>
  <c r="AF135" i="8"/>
  <c r="AG135" i="8"/>
  <c r="AI135" i="8"/>
  <c r="AJ135" i="8"/>
  <c r="AK135" i="8"/>
  <c r="AL135" i="8"/>
  <c r="AM135" i="8"/>
  <c r="AN135" i="8"/>
  <c r="AO135" i="8"/>
  <c r="AQ135" i="8"/>
  <c r="AR135" i="8"/>
  <c r="AS135" i="8"/>
  <c r="AT135" i="8"/>
  <c r="B136" i="8"/>
  <c r="C136" i="8"/>
  <c r="D136" i="8"/>
  <c r="F136" i="8"/>
  <c r="G136" i="8"/>
  <c r="H136" i="8"/>
  <c r="I136" i="8"/>
  <c r="J136" i="8"/>
  <c r="K136" i="8"/>
  <c r="L136" i="8"/>
  <c r="N136" i="8"/>
  <c r="O136" i="8"/>
  <c r="P136" i="8"/>
  <c r="Q136" i="8"/>
  <c r="R136" i="8"/>
  <c r="S136" i="8"/>
  <c r="T136" i="8"/>
  <c r="V136" i="8"/>
  <c r="W136" i="8"/>
  <c r="X136" i="8"/>
  <c r="Y136" i="8"/>
  <c r="Z136" i="8"/>
  <c r="AA136" i="8"/>
  <c r="AB136" i="8"/>
  <c r="AD136" i="8"/>
  <c r="AE136" i="8"/>
  <c r="AF136" i="8"/>
  <c r="AG136" i="8"/>
  <c r="AH136" i="8"/>
  <c r="AI136" i="8"/>
  <c r="AJ136" i="8"/>
  <c r="AL136" i="8"/>
  <c r="AM136" i="8"/>
  <c r="AN136" i="8"/>
  <c r="AO136" i="8"/>
  <c r="AP136" i="8"/>
  <c r="AQ136" i="8"/>
  <c r="AR136" i="8"/>
  <c r="AT136" i="8"/>
  <c r="B137" i="8"/>
  <c r="C137" i="8"/>
  <c r="D137" i="8"/>
  <c r="E137" i="8"/>
  <c r="F137" i="8"/>
  <c r="G137" i="8"/>
  <c r="I137" i="8"/>
  <c r="J137" i="8"/>
  <c r="K137" i="8"/>
  <c r="L137" i="8"/>
  <c r="M137" i="8"/>
  <c r="N137" i="8"/>
  <c r="O137" i="8"/>
  <c r="Q137" i="8"/>
  <c r="R137" i="8"/>
  <c r="S137" i="8"/>
  <c r="T137" i="8"/>
  <c r="U137" i="8"/>
  <c r="V137" i="8"/>
  <c r="W137" i="8"/>
  <c r="Y137" i="8"/>
  <c r="Z137" i="8"/>
  <c r="AA137" i="8"/>
  <c r="AB137" i="8"/>
  <c r="AC137" i="8"/>
  <c r="AD137" i="8"/>
  <c r="AE137" i="8"/>
  <c r="AG137" i="8"/>
  <c r="AH137" i="8"/>
  <c r="AI137" i="8"/>
  <c r="AJ137" i="8"/>
  <c r="AK137" i="8"/>
  <c r="AL137" i="8"/>
  <c r="AM137" i="8"/>
  <c r="AO137" i="8"/>
  <c r="AP137" i="8"/>
  <c r="AQ137" i="8"/>
  <c r="AR137" i="8"/>
  <c r="AS137" i="8"/>
  <c r="AT137" i="8"/>
  <c r="B138" i="8"/>
  <c r="D138" i="8"/>
  <c r="E138" i="8"/>
  <c r="F138" i="8"/>
  <c r="G138" i="8"/>
  <c r="H138" i="8"/>
  <c r="I138" i="8"/>
  <c r="J138" i="8"/>
  <c r="L138" i="8"/>
  <c r="M138" i="8"/>
  <c r="N138" i="8"/>
  <c r="O138" i="8"/>
  <c r="P138" i="8"/>
  <c r="Q138" i="8"/>
  <c r="R138" i="8"/>
  <c r="T138" i="8"/>
  <c r="U138" i="8"/>
  <c r="V138" i="8"/>
  <c r="W138" i="8"/>
  <c r="X138" i="8"/>
  <c r="Y138" i="8"/>
  <c r="Z138" i="8"/>
  <c r="AB138" i="8"/>
  <c r="AC138" i="8"/>
  <c r="AD138" i="8"/>
  <c r="AE138" i="8"/>
  <c r="AF138" i="8"/>
  <c r="AG138" i="8"/>
  <c r="AH138" i="8"/>
  <c r="AJ138" i="8"/>
  <c r="AK138" i="8"/>
  <c r="AL138" i="8"/>
  <c r="AM138" i="8"/>
  <c r="AN138" i="8"/>
  <c r="AO138" i="8"/>
  <c r="AP138" i="8"/>
  <c r="AR138" i="8"/>
  <c r="AS138" i="8"/>
  <c r="AT138" i="8"/>
  <c r="B139" i="8"/>
  <c r="C139" i="8"/>
  <c r="D139" i="8"/>
  <c r="E139" i="8"/>
  <c r="G139" i="8"/>
  <c r="H139" i="8"/>
  <c r="I139" i="8"/>
  <c r="J139" i="8"/>
  <c r="K139" i="8"/>
  <c r="L139" i="8"/>
  <c r="M139" i="8"/>
  <c r="O139" i="8"/>
  <c r="P139" i="8"/>
  <c r="Q139" i="8"/>
  <c r="R139" i="8"/>
  <c r="S139" i="8"/>
  <c r="T139" i="8"/>
  <c r="U139" i="8"/>
  <c r="W139" i="8"/>
  <c r="X139" i="8"/>
  <c r="Y139" i="8"/>
  <c r="Z139" i="8"/>
  <c r="AA139" i="8"/>
  <c r="AB139" i="8"/>
  <c r="AC139" i="8"/>
  <c r="AE139" i="8"/>
  <c r="AF139" i="8"/>
  <c r="AG139" i="8"/>
  <c r="AH139" i="8"/>
  <c r="AI139" i="8"/>
  <c r="AJ139" i="8"/>
  <c r="AK139" i="8"/>
  <c r="AM139" i="8"/>
  <c r="AN139" i="8"/>
  <c r="AO139" i="8"/>
  <c r="AP139" i="8"/>
  <c r="AQ139" i="8"/>
  <c r="AR139" i="8"/>
  <c r="AS139" i="8"/>
  <c r="B140" i="8"/>
  <c r="C140" i="8"/>
  <c r="D140" i="8"/>
  <c r="E140" i="8"/>
  <c r="F140" i="8"/>
  <c r="G140" i="8"/>
  <c r="H140" i="8"/>
  <c r="J140" i="8"/>
  <c r="K140" i="8"/>
  <c r="L140" i="8"/>
  <c r="M140" i="8"/>
  <c r="N140" i="8"/>
  <c r="O140" i="8"/>
  <c r="P140" i="8"/>
  <c r="R140" i="8"/>
  <c r="S140" i="8"/>
  <c r="T140" i="8"/>
  <c r="U140" i="8"/>
  <c r="V140" i="8"/>
  <c r="W140" i="8"/>
  <c r="X140" i="8"/>
  <c r="Z140" i="8"/>
  <c r="AA140" i="8"/>
  <c r="AB140" i="8"/>
  <c r="AC140" i="8"/>
  <c r="AD140" i="8"/>
  <c r="AE140" i="8"/>
  <c r="AF140" i="8"/>
  <c r="AH140" i="8"/>
  <c r="AI140" i="8"/>
  <c r="AJ140" i="8"/>
  <c r="AK140" i="8"/>
  <c r="AL140" i="8"/>
  <c r="AM140" i="8"/>
  <c r="AN140" i="8"/>
  <c r="AP140" i="8"/>
  <c r="AQ140" i="8"/>
  <c r="AR140" i="8"/>
  <c r="AS140" i="8"/>
  <c r="AT140" i="8"/>
  <c r="B141" i="8"/>
  <c r="C141" i="8"/>
  <c r="E141" i="8"/>
  <c r="F141" i="8"/>
  <c r="G141" i="8"/>
  <c r="H141" i="8"/>
  <c r="I141" i="8"/>
  <c r="J141" i="8"/>
  <c r="K141" i="8"/>
  <c r="M141" i="8"/>
  <c r="N141" i="8"/>
  <c r="O141" i="8"/>
  <c r="P141" i="8"/>
  <c r="Q141" i="8"/>
  <c r="R141" i="8"/>
  <c r="S141" i="8"/>
  <c r="U141" i="8"/>
  <c r="V141" i="8"/>
  <c r="W141" i="8"/>
  <c r="X141" i="8"/>
  <c r="Y141" i="8"/>
  <c r="Z141" i="8"/>
  <c r="AA141" i="8"/>
  <c r="AC141" i="8"/>
  <c r="AD141" i="8"/>
  <c r="AE141" i="8"/>
  <c r="AF141" i="8"/>
  <c r="AG141" i="8"/>
  <c r="AH141" i="8"/>
  <c r="AI141" i="8"/>
  <c r="AK141" i="8"/>
  <c r="AL141" i="8"/>
  <c r="AM141" i="8"/>
  <c r="AN141" i="8"/>
  <c r="AO141" i="8"/>
  <c r="AP141" i="8"/>
  <c r="AQ141" i="8"/>
  <c r="AS141" i="8"/>
  <c r="AT141" i="8"/>
  <c r="B142" i="8"/>
  <c r="C142" i="8"/>
  <c r="D142" i="8"/>
  <c r="E142" i="8"/>
  <c r="F142" i="8"/>
  <c r="H142" i="8"/>
  <c r="I142" i="8"/>
  <c r="J142" i="8"/>
  <c r="K142" i="8"/>
  <c r="L142" i="8"/>
  <c r="M142" i="8"/>
  <c r="N142" i="8"/>
  <c r="P142" i="8"/>
  <c r="Q142" i="8"/>
  <c r="R142" i="8"/>
  <c r="S142" i="8"/>
  <c r="T142" i="8"/>
  <c r="U142" i="8"/>
  <c r="V142" i="8"/>
  <c r="X142" i="8"/>
  <c r="Y142" i="8"/>
  <c r="Z142" i="8"/>
  <c r="AA142" i="8"/>
  <c r="AB142" i="8"/>
  <c r="AC142" i="8"/>
  <c r="AD142" i="8"/>
  <c r="AF142" i="8"/>
  <c r="AG142" i="8"/>
  <c r="AH142" i="8"/>
  <c r="AI142" i="8"/>
  <c r="AJ142" i="8"/>
  <c r="AK142" i="8"/>
  <c r="AL142" i="8"/>
  <c r="AN142" i="8"/>
  <c r="AO142" i="8"/>
  <c r="AP142" i="8"/>
  <c r="AQ142" i="8"/>
  <c r="AR142" i="8"/>
  <c r="AS142" i="8"/>
  <c r="AT142" i="8"/>
  <c r="C143" i="8"/>
  <c r="D143" i="8"/>
  <c r="E143" i="8"/>
  <c r="F143" i="8"/>
  <c r="G143" i="8"/>
  <c r="H143" i="8"/>
  <c r="I143" i="8"/>
  <c r="K143" i="8"/>
  <c r="L143" i="8"/>
  <c r="M143" i="8"/>
  <c r="N143" i="8"/>
  <c r="O143" i="8"/>
  <c r="P143" i="8"/>
  <c r="Q143" i="8"/>
  <c r="S143" i="8"/>
  <c r="T143" i="8"/>
  <c r="U143" i="8"/>
  <c r="V143" i="8"/>
  <c r="W143" i="8"/>
  <c r="X143" i="8"/>
  <c r="Y143" i="8"/>
  <c r="AA143" i="8"/>
  <c r="AB143" i="8"/>
  <c r="AC143" i="8"/>
  <c r="AD143" i="8"/>
  <c r="AE143" i="8"/>
  <c r="AF143" i="8"/>
  <c r="AG143" i="8"/>
  <c r="AI143" i="8"/>
  <c r="AJ143" i="8"/>
  <c r="AK143" i="8"/>
  <c r="AL143" i="8"/>
  <c r="AM143" i="8"/>
  <c r="AN143" i="8"/>
  <c r="AO143" i="8"/>
  <c r="AQ143" i="8"/>
  <c r="AR143" i="8"/>
  <c r="AS143" i="8"/>
  <c r="AT143" i="8"/>
  <c r="B144" i="8"/>
  <c r="C144" i="8"/>
  <c r="D144" i="8"/>
  <c r="F144" i="8"/>
  <c r="G144" i="8"/>
  <c r="H144" i="8"/>
  <c r="I144" i="8"/>
  <c r="J144" i="8"/>
  <c r="K144" i="8"/>
  <c r="L144" i="8"/>
  <c r="N144" i="8"/>
  <c r="O144" i="8"/>
  <c r="P144" i="8"/>
  <c r="Q144" i="8"/>
  <c r="R144" i="8"/>
  <c r="S144" i="8"/>
  <c r="T144" i="8"/>
  <c r="V144" i="8"/>
  <c r="W144" i="8"/>
  <c r="X144" i="8"/>
  <c r="Y144" i="8"/>
  <c r="Z144" i="8"/>
  <c r="AA144" i="8"/>
  <c r="AB144" i="8"/>
  <c r="AD144" i="8"/>
  <c r="AE144" i="8"/>
  <c r="AF144" i="8"/>
  <c r="AG144" i="8"/>
  <c r="AH144" i="8"/>
  <c r="AI144" i="8"/>
  <c r="AJ144" i="8"/>
  <c r="AL144" i="8"/>
  <c r="AM144" i="8"/>
  <c r="AN144" i="8"/>
  <c r="AO144" i="8"/>
  <c r="AP144" i="8"/>
  <c r="AQ144" i="8"/>
  <c r="AR144" i="8"/>
  <c r="AT144" i="8"/>
  <c r="B145" i="8"/>
  <c r="C145" i="8"/>
  <c r="D145" i="8"/>
  <c r="E145" i="8"/>
  <c r="F145" i="8"/>
  <c r="G145" i="8"/>
  <c r="I145" i="8"/>
  <c r="J145" i="8"/>
  <c r="K145" i="8"/>
  <c r="L145" i="8"/>
  <c r="M145" i="8"/>
  <c r="N145" i="8"/>
  <c r="O145" i="8"/>
  <c r="Q145" i="8"/>
  <c r="R145" i="8"/>
  <c r="S145" i="8"/>
  <c r="T145" i="8"/>
  <c r="U145" i="8"/>
  <c r="V145" i="8"/>
  <c r="W145" i="8"/>
  <c r="Y145" i="8"/>
  <c r="Z145" i="8"/>
  <c r="AA145" i="8"/>
  <c r="AB145" i="8"/>
  <c r="AC145" i="8"/>
  <c r="AD145" i="8"/>
  <c r="AE145" i="8"/>
  <c r="AG145" i="8"/>
  <c r="AH145" i="8"/>
  <c r="AI145" i="8"/>
  <c r="AJ145" i="8"/>
  <c r="AK145" i="8"/>
  <c r="AL145" i="8"/>
  <c r="AM145" i="8"/>
  <c r="AO145" i="8"/>
  <c r="AP145" i="8"/>
  <c r="AQ145" i="8"/>
  <c r="AR145" i="8"/>
  <c r="AS145" i="8"/>
  <c r="AT145" i="8"/>
  <c r="B146" i="8"/>
  <c r="D146" i="8"/>
  <c r="E146" i="8"/>
  <c r="F146" i="8"/>
  <c r="G146" i="8"/>
  <c r="H146" i="8"/>
  <c r="I146" i="8"/>
  <c r="J146" i="8"/>
  <c r="L146" i="8"/>
  <c r="M146" i="8"/>
  <c r="N146" i="8"/>
  <c r="O146" i="8"/>
  <c r="P146" i="8"/>
  <c r="Q146" i="8"/>
  <c r="R146" i="8"/>
  <c r="T146" i="8"/>
  <c r="U146" i="8"/>
  <c r="V146" i="8"/>
  <c r="W146" i="8"/>
  <c r="X146" i="8"/>
  <c r="Y146" i="8"/>
  <c r="Z146" i="8"/>
  <c r="AB146" i="8"/>
  <c r="AC146" i="8"/>
  <c r="AD146" i="8"/>
  <c r="AE146" i="8"/>
  <c r="AF146" i="8"/>
  <c r="AG146" i="8"/>
  <c r="AH146" i="8"/>
  <c r="AJ146" i="8"/>
  <c r="AK146" i="8"/>
  <c r="AL146" i="8"/>
  <c r="AM146" i="8"/>
  <c r="AN146" i="8"/>
  <c r="AO146" i="8"/>
  <c r="AP146" i="8"/>
  <c r="AR146" i="8"/>
  <c r="AS146" i="8"/>
  <c r="AT146" i="8"/>
  <c r="B147" i="8"/>
  <c r="C147" i="8"/>
  <c r="D147" i="8"/>
  <c r="E147" i="8"/>
  <c r="G147" i="8"/>
  <c r="H147" i="8"/>
  <c r="I147" i="8"/>
  <c r="J147" i="8"/>
  <c r="K147" i="8"/>
  <c r="L147" i="8"/>
  <c r="M147" i="8"/>
  <c r="O147" i="8"/>
  <c r="P147" i="8"/>
  <c r="Q147" i="8"/>
  <c r="R147" i="8"/>
  <c r="S147" i="8"/>
  <c r="T147" i="8"/>
  <c r="U147" i="8"/>
  <c r="W147" i="8"/>
  <c r="X147" i="8"/>
  <c r="Y147" i="8"/>
  <c r="Z147" i="8"/>
  <c r="AA147" i="8"/>
  <c r="AB147" i="8"/>
  <c r="AC147" i="8"/>
  <c r="AE147" i="8"/>
  <c r="AF147" i="8"/>
  <c r="AG147" i="8"/>
  <c r="AH147" i="8"/>
  <c r="AI147" i="8"/>
  <c r="AJ147" i="8"/>
  <c r="AK147" i="8"/>
  <c r="AM147" i="8"/>
  <c r="AN147" i="8"/>
  <c r="AO147" i="8"/>
  <c r="AP147" i="8"/>
  <c r="AQ147" i="8"/>
  <c r="AR147" i="8"/>
  <c r="AS147" i="8"/>
  <c r="B148" i="8"/>
  <c r="C148" i="8"/>
  <c r="D148" i="8"/>
  <c r="E148" i="8"/>
  <c r="F148" i="8"/>
  <c r="G148" i="8"/>
  <c r="H148" i="8"/>
  <c r="J148" i="8"/>
  <c r="K148" i="8"/>
  <c r="L148" i="8"/>
  <c r="M148" i="8"/>
  <c r="N148" i="8"/>
  <c r="O148" i="8"/>
  <c r="P148" i="8"/>
  <c r="R148" i="8"/>
  <c r="S148" i="8"/>
  <c r="T148" i="8"/>
  <c r="U148" i="8"/>
  <c r="V148" i="8"/>
  <c r="W148" i="8"/>
  <c r="X148" i="8"/>
  <c r="Z148" i="8"/>
  <c r="AA148" i="8"/>
  <c r="AB148" i="8"/>
  <c r="AC148" i="8"/>
  <c r="AD148" i="8"/>
  <c r="AE148" i="8"/>
  <c r="AF148" i="8"/>
  <c r="AH148" i="8"/>
  <c r="AI148" i="8"/>
  <c r="AJ148" i="8"/>
  <c r="AK148" i="8"/>
  <c r="AL148" i="8"/>
  <c r="AM148" i="8"/>
  <c r="AN148" i="8"/>
  <c r="AP148" i="8"/>
  <c r="AQ148" i="8"/>
  <c r="AR148" i="8"/>
  <c r="AS148" i="8"/>
  <c r="AT148" i="8"/>
  <c r="B149" i="8"/>
  <c r="C149" i="8"/>
  <c r="E149" i="8"/>
  <c r="F149" i="8"/>
  <c r="G149" i="8"/>
  <c r="H149" i="8"/>
  <c r="I149" i="8"/>
  <c r="J149" i="8"/>
  <c r="K149" i="8"/>
  <c r="M149" i="8"/>
  <c r="N149" i="8"/>
  <c r="O149" i="8"/>
  <c r="P149" i="8"/>
  <c r="Q149" i="8"/>
  <c r="R149" i="8"/>
  <c r="S149" i="8"/>
  <c r="U149" i="8"/>
  <c r="V149" i="8"/>
  <c r="W149" i="8"/>
  <c r="X149" i="8"/>
  <c r="Y149" i="8"/>
  <c r="Z149" i="8"/>
  <c r="AA149" i="8"/>
  <c r="AC149" i="8"/>
  <c r="AD149" i="8"/>
  <c r="AE149" i="8"/>
  <c r="AF149" i="8"/>
  <c r="AG149" i="8"/>
  <c r="AH149" i="8"/>
  <c r="AI149" i="8"/>
  <c r="AK149" i="8"/>
  <c r="AL149" i="8"/>
  <c r="AM149" i="8"/>
  <c r="AN149" i="8"/>
  <c r="AO149" i="8"/>
  <c r="AP149" i="8"/>
  <c r="AQ149" i="8"/>
  <c r="AS149" i="8"/>
  <c r="AT149" i="8"/>
  <c r="B150" i="8"/>
  <c r="C150" i="8"/>
  <c r="D150" i="8"/>
  <c r="E150" i="8"/>
  <c r="F150" i="8"/>
  <c r="H150" i="8"/>
  <c r="I150" i="8"/>
  <c r="J150" i="8"/>
  <c r="K150" i="8"/>
  <c r="L150" i="8"/>
  <c r="M150" i="8"/>
  <c r="N150" i="8"/>
  <c r="P150" i="8"/>
  <c r="Q150" i="8"/>
  <c r="R150" i="8"/>
  <c r="S150" i="8"/>
  <c r="T150" i="8"/>
  <c r="U150" i="8"/>
  <c r="V150" i="8"/>
  <c r="X150" i="8"/>
  <c r="Y150" i="8"/>
  <c r="Z150" i="8"/>
  <c r="AA150" i="8"/>
  <c r="AB150" i="8"/>
  <c r="AC150" i="8"/>
  <c r="AD150" i="8"/>
  <c r="AF150" i="8"/>
  <c r="AG150" i="8"/>
  <c r="AH150" i="8"/>
  <c r="AI150" i="8"/>
  <c r="AJ150" i="8"/>
  <c r="AK150" i="8"/>
  <c r="AL150" i="8"/>
  <c r="AN150" i="8"/>
  <c r="AO150" i="8"/>
  <c r="AP150" i="8"/>
  <c r="AQ150" i="8"/>
  <c r="AR150" i="8"/>
  <c r="AS150" i="8"/>
  <c r="AT150" i="8"/>
  <c r="C151" i="8"/>
  <c r="D151" i="8"/>
  <c r="E151" i="8"/>
  <c r="F151" i="8"/>
  <c r="G151" i="8"/>
  <c r="H151" i="8"/>
  <c r="I151" i="8"/>
  <c r="K151" i="8"/>
  <c r="L151" i="8"/>
  <c r="M151" i="8"/>
  <c r="N151" i="8"/>
  <c r="O151" i="8"/>
  <c r="P151" i="8"/>
  <c r="Q151" i="8"/>
  <c r="S151" i="8"/>
  <c r="T151" i="8"/>
  <c r="U151" i="8"/>
  <c r="V151" i="8"/>
  <c r="W151" i="8"/>
  <c r="X151" i="8"/>
  <c r="Y151" i="8"/>
  <c r="AA151" i="8"/>
  <c r="AB151" i="8"/>
  <c r="AC151" i="8"/>
  <c r="AD151" i="8"/>
  <c r="AE151" i="8"/>
  <c r="AF151" i="8"/>
  <c r="AG151" i="8"/>
  <c r="AI151" i="8"/>
  <c r="AJ151" i="8"/>
  <c r="AK151" i="8"/>
  <c r="AL151" i="8"/>
  <c r="AM151" i="8"/>
  <c r="AN151" i="8"/>
  <c r="AO151" i="8"/>
  <c r="AQ151" i="8"/>
  <c r="AR151" i="8"/>
  <c r="AS151" i="8"/>
  <c r="AT151" i="8"/>
  <c r="B152" i="8"/>
  <c r="C152" i="8"/>
  <c r="D152" i="8"/>
  <c r="F152" i="8"/>
  <c r="G152" i="8"/>
  <c r="H152" i="8"/>
  <c r="I152" i="8"/>
  <c r="J152" i="8"/>
  <c r="K152" i="8"/>
  <c r="L152" i="8"/>
  <c r="N152" i="8"/>
  <c r="O152" i="8"/>
  <c r="P152" i="8"/>
  <c r="Q152" i="8"/>
  <c r="R152" i="8"/>
  <c r="S152" i="8"/>
  <c r="T152" i="8"/>
  <c r="V152" i="8"/>
  <c r="W152" i="8"/>
  <c r="X152" i="8"/>
  <c r="Y152" i="8"/>
  <c r="Z152" i="8"/>
  <c r="AA152" i="8"/>
  <c r="AB152" i="8"/>
  <c r="AD152" i="8"/>
  <c r="AE152" i="8"/>
  <c r="AF152" i="8"/>
  <c r="AG152" i="8"/>
  <c r="AH152" i="8"/>
  <c r="AI152" i="8"/>
  <c r="AJ152" i="8"/>
  <c r="AL152" i="8"/>
  <c r="AM152" i="8"/>
  <c r="AN152" i="8"/>
  <c r="AO152" i="8"/>
  <c r="AP152" i="8"/>
  <c r="AQ152" i="8"/>
  <c r="AR152" i="8"/>
  <c r="AT152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AK206" i="8"/>
  <c r="AL206" i="8"/>
  <c r="AM206" i="8"/>
  <c r="AN206" i="8"/>
  <c r="AO206" i="8"/>
  <c r="AP206" i="8"/>
  <c r="AQ206" i="8"/>
  <c r="AR206" i="8"/>
  <c r="AS206" i="8"/>
  <c r="AT206" i="8"/>
  <c r="BD2" i="7"/>
  <c r="BE2" i="7"/>
  <c r="BD3" i="7"/>
  <c r="BE3" i="7"/>
  <c r="U59" i="7" s="1"/>
  <c r="BD4" i="7"/>
  <c r="BE4" i="7"/>
  <c r="BD5" i="7"/>
  <c r="BE5" i="7"/>
  <c r="BD6" i="7"/>
  <c r="BE6" i="7"/>
  <c r="BD7" i="7"/>
  <c r="BE7" i="7"/>
  <c r="BD8" i="7"/>
  <c r="BE8" i="7"/>
  <c r="BD9" i="7"/>
  <c r="BE9" i="7"/>
  <c r="BD10" i="7"/>
  <c r="BE10" i="7"/>
  <c r="BD11" i="7"/>
  <c r="BE11" i="7"/>
  <c r="BD12" i="7"/>
  <c r="BE12" i="7"/>
  <c r="BD13" i="7"/>
  <c r="BE13" i="7"/>
  <c r="BD14" i="7"/>
  <c r="BE14" i="7"/>
  <c r="BD15" i="7"/>
  <c r="BE15" i="7"/>
  <c r="BD16" i="7"/>
  <c r="BE16" i="7"/>
  <c r="BD17" i="7"/>
  <c r="BE17" i="7"/>
  <c r="BD18" i="7"/>
  <c r="BE18" i="7"/>
  <c r="BD19" i="7"/>
  <c r="BE19" i="7"/>
  <c r="BD20" i="7"/>
  <c r="BE20" i="7"/>
  <c r="BD21" i="7"/>
  <c r="BE21" i="7"/>
  <c r="BD22" i="7"/>
  <c r="BE22" i="7"/>
  <c r="BD23" i="7"/>
  <c r="BE23" i="7"/>
  <c r="BD24" i="7"/>
  <c r="BE24" i="7"/>
  <c r="BD25" i="7"/>
  <c r="BE25" i="7"/>
  <c r="BD26" i="7"/>
  <c r="BE26" i="7"/>
  <c r="BD27" i="7"/>
  <c r="BE27" i="7"/>
  <c r="BD28" i="7"/>
  <c r="BE28" i="7"/>
  <c r="BD29" i="7"/>
  <c r="BE29" i="7"/>
  <c r="BD30" i="7"/>
  <c r="BE30" i="7"/>
  <c r="BD31" i="7"/>
  <c r="BE31" i="7"/>
  <c r="BD32" i="7"/>
  <c r="BE32" i="7"/>
  <c r="BD33" i="7"/>
  <c r="BE33" i="7"/>
  <c r="BD34" i="7"/>
  <c r="BE34" i="7"/>
  <c r="BD35" i="7"/>
  <c r="BE35" i="7"/>
  <c r="BD36" i="7"/>
  <c r="BE36" i="7"/>
  <c r="BD37" i="7"/>
  <c r="BE37" i="7"/>
  <c r="BD38" i="7"/>
  <c r="BE38" i="7"/>
  <c r="BD39" i="7"/>
  <c r="BE39" i="7"/>
  <c r="BD40" i="7"/>
  <c r="BE40" i="7"/>
  <c r="BD41" i="7"/>
  <c r="BE41" i="7"/>
  <c r="BD42" i="7"/>
  <c r="BE42" i="7"/>
  <c r="BD43" i="7"/>
  <c r="BE43" i="7"/>
  <c r="BD44" i="7"/>
  <c r="BE44" i="7"/>
  <c r="BD45" i="7"/>
  <c r="BE45" i="7"/>
  <c r="BD46" i="7"/>
  <c r="BE46" i="7"/>
  <c r="C59" i="7"/>
  <c r="F59" i="7" s="1"/>
  <c r="D59" i="7"/>
  <c r="E59" i="7"/>
  <c r="L59" i="7"/>
  <c r="M59" i="7"/>
  <c r="N59" i="7"/>
  <c r="O59" i="7"/>
  <c r="L64" i="7" s="1"/>
  <c r="M64" i="7" s="1"/>
  <c r="P59" i="7"/>
  <c r="Q59" i="7"/>
  <c r="R59" i="7"/>
  <c r="S59" i="7"/>
  <c r="L65" i="7" s="1"/>
  <c r="M65" i="7" s="1"/>
  <c r="T59" i="7"/>
  <c r="C60" i="7"/>
  <c r="D60" i="7"/>
  <c r="D62" i="7" s="1"/>
  <c r="F62" i="7" s="1"/>
  <c r="E60" i="7"/>
  <c r="C61" i="7"/>
  <c r="D61" i="7"/>
  <c r="E61" i="7"/>
  <c r="E62" i="7" s="1"/>
  <c r="C62" i="7"/>
  <c r="L63" i="7"/>
  <c r="M63" i="7"/>
  <c r="L66" i="7"/>
  <c r="M66" i="7" s="1"/>
  <c r="M67" i="7"/>
  <c r="R60" i="7" l="1"/>
  <c r="L60" i="7"/>
  <c r="T60" i="7"/>
  <c r="M60" i="7"/>
  <c r="U60" i="7"/>
  <c r="Q60" i="7"/>
  <c r="N60" i="7"/>
  <c r="P60" i="7"/>
  <c r="O60" i="7"/>
  <c r="F61" i="7"/>
  <c r="F60" i="7"/>
  <c r="S60" i="7"/>
  <c r="BE53" i="7"/>
  <c r="E72" i="5" l="1"/>
  <c r="E73" i="5"/>
  <c r="E74" i="5"/>
  <c r="E75" i="5"/>
  <c r="E71" i="5"/>
  <c r="AT206" i="2"/>
  <c r="AO206" i="2"/>
  <c r="AP206" i="2"/>
  <c r="AQ206" i="2"/>
  <c r="AR206" i="2"/>
  <c r="AS206" i="2"/>
  <c r="AI206" i="2"/>
  <c r="AJ206" i="2"/>
  <c r="AK206" i="2"/>
  <c r="AL206" i="2"/>
  <c r="AM206" i="2"/>
  <c r="AN206" i="2"/>
  <c r="AB206" i="2"/>
  <c r="AC206" i="2"/>
  <c r="AD206" i="2"/>
  <c r="AE206" i="2"/>
  <c r="AF206" i="2"/>
  <c r="AG206" i="2"/>
  <c r="AH206" i="2"/>
  <c r="V206" i="2"/>
  <c r="W206" i="2"/>
  <c r="X206" i="2"/>
  <c r="Y206" i="2"/>
  <c r="Z206" i="2"/>
  <c r="AA206" i="2"/>
  <c r="P206" i="2"/>
  <c r="Q206" i="2"/>
  <c r="R206" i="2"/>
  <c r="S206" i="2"/>
  <c r="T206" i="2"/>
  <c r="U206" i="2"/>
  <c r="M206" i="2"/>
  <c r="N206" i="2"/>
  <c r="O206" i="2"/>
  <c r="I206" i="2"/>
  <c r="J206" i="2"/>
  <c r="K206" i="2"/>
  <c r="L206" i="2"/>
  <c r="F206" i="2"/>
  <c r="G206" i="2"/>
  <c r="H206" i="2"/>
  <c r="C206" i="2"/>
  <c r="D206" i="2"/>
  <c r="E206" i="2"/>
  <c r="B206" i="2"/>
  <c r="G17" i="6"/>
  <c r="G18" i="6"/>
  <c r="G19" i="6"/>
  <c r="G20" i="6"/>
  <c r="G16" i="6"/>
  <c r="G6" i="6"/>
  <c r="G7" i="6"/>
  <c r="G8" i="6"/>
  <c r="G9" i="6"/>
  <c r="G5" i="6"/>
  <c r="G38" i="5"/>
  <c r="G39" i="5"/>
  <c r="G37" i="5"/>
  <c r="F38" i="5"/>
  <c r="F39" i="5"/>
  <c r="F37" i="5"/>
  <c r="E38" i="5"/>
  <c r="E39" i="5"/>
  <c r="E37" i="5"/>
  <c r="C40" i="5"/>
  <c r="B40" i="5"/>
  <c r="D38" i="5"/>
  <c r="D39" i="5"/>
  <c r="D37" i="5"/>
  <c r="D62" i="1" l="1"/>
  <c r="E62" i="1"/>
  <c r="C62" i="1"/>
  <c r="F62" i="1"/>
  <c r="F60" i="1"/>
  <c r="F61" i="1"/>
  <c r="F59" i="1"/>
  <c r="M67" i="1"/>
  <c r="M64" i="1"/>
  <c r="M65" i="1"/>
  <c r="M66" i="1"/>
  <c r="M63" i="1"/>
  <c r="L67" i="1"/>
  <c r="U60" i="1"/>
  <c r="L66" i="1"/>
  <c r="N59" i="1"/>
  <c r="O59" i="1"/>
  <c r="P59" i="1"/>
  <c r="Q59" i="1"/>
  <c r="R59" i="1"/>
  <c r="S59" i="1"/>
  <c r="T59" i="1"/>
  <c r="M59" i="1"/>
  <c r="L59" i="1"/>
  <c r="E61" i="1"/>
  <c r="E60" i="1"/>
  <c r="E59" i="1"/>
  <c r="D61" i="1"/>
  <c r="D60" i="1"/>
  <c r="D59" i="1"/>
  <c r="C61" i="1"/>
  <c r="C60" i="1"/>
  <c r="C59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" i="1"/>
  <c r="BE3" i="1"/>
  <c r="C9" i="2" s="1"/>
  <c r="C111" i="2" s="1"/>
  <c r="BE4" i="1"/>
  <c r="D9" i="2" s="1"/>
  <c r="D111" i="2" s="1"/>
  <c r="BE5" i="1"/>
  <c r="E13" i="2" s="1"/>
  <c r="E115" i="2" s="1"/>
  <c r="BE6" i="1"/>
  <c r="F12" i="2" s="1"/>
  <c r="F114" i="2" s="1"/>
  <c r="BE7" i="1"/>
  <c r="G15" i="2" s="1"/>
  <c r="G117" i="2" s="1"/>
  <c r="BE8" i="1"/>
  <c r="H14" i="2" s="1"/>
  <c r="H116" i="2" s="1"/>
  <c r="BE9" i="1"/>
  <c r="BE10" i="1"/>
  <c r="BE11" i="1"/>
  <c r="K8" i="2" s="1"/>
  <c r="K110" i="2" s="1"/>
  <c r="BE12" i="1"/>
  <c r="L20" i="2" s="1"/>
  <c r="L122" i="2" s="1"/>
  <c r="BE13" i="1"/>
  <c r="M8" i="2" s="1"/>
  <c r="M110" i="2" s="1"/>
  <c r="BE14" i="1"/>
  <c r="BE15" i="1"/>
  <c r="O24" i="2" s="1"/>
  <c r="O126" i="2" s="1"/>
  <c r="BE16" i="1"/>
  <c r="BE17" i="1"/>
  <c r="BE18" i="1"/>
  <c r="R41" i="2" s="1"/>
  <c r="BE19" i="1"/>
  <c r="S15" i="2" s="1"/>
  <c r="S117" i="2" s="1"/>
  <c r="BE20" i="1"/>
  <c r="BE21" i="1"/>
  <c r="U6" i="2" s="1"/>
  <c r="U108" i="2" s="1"/>
  <c r="BE22" i="1"/>
  <c r="V45" i="2" s="1"/>
  <c r="V147" i="2" s="1"/>
  <c r="BE23" i="1"/>
  <c r="BE24" i="1"/>
  <c r="X21" i="2" s="1"/>
  <c r="X123" i="2" s="1"/>
  <c r="BE25" i="1"/>
  <c r="BE26" i="1"/>
  <c r="BE27" i="1"/>
  <c r="AA34" i="2" s="1"/>
  <c r="AA136" i="2" s="1"/>
  <c r="BE28" i="1"/>
  <c r="AB6" i="2" s="1"/>
  <c r="AB108" i="2" s="1"/>
  <c r="BE29" i="1"/>
  <c r="AC26" i="2" s="1"/>
  <c r="AC128" i="2" s="1"/>
  <c r="BE30" i="1"/>
  <c r="AD38" i="2" s="1"/>
  <c r="AD140" i="2" s="1"/>
  <c r="BE31" i="1"/>
  <c r="BE32" i="1"/>
  <c r="BE33" i="1"/>
  <c r="BE34" i="1"/>
  <c r="BE35" i="1"/>
  <c r="AI6" i="2" s="1"/>
  <c r="AI108" i="2" s="1"/>
  <c r="BE36" i="1"/>
  <c r="AJ6" i="2" s="1"/>
  <c r="AJ108" i="2" s="1"/>
  <c r="BE37" i="1"/>
  <c r="BE38" i="1"/>
  <c r="BE39" i="1"/>
  <c r="BE40" i="1"/>
  <c r="BE41" i="1"/>
  <c r="BE42" i="1"/>
  <c r="BE43" i="1"/>
  <c r="AQ34" i="2" s="1"/>
  <c r="AQ136" i="2" s="1"/>
  <c r="BE44" i="1"/>
  <c r="AR14" i="2" s="1"/>
  <c r="AR116" i="2" s="1"/>
  <c r="BE45" i="1"/>
  <c r="AS6" i="2" s="1"/>
  <c r="AS108" i="2" s="1"/>
  <c r="BE46" i="1"/>
  <c r="BE2" i="1"/>
  <c r="B12" i="2" s="1"/>
  <c r="B114" i="2" s="1"/>
  <c r="BD3" i="1"/>
  <c r="BD2" i="1"/>
  <c r="Q60" i="1" l="1"/>
  <c r="P60" i="1"/>
  <c r="O60" i="1"/>
  <c r="L60" i="1"/>
  <c r="N60" i="1"/>
  <c r="T60" i="1"/>
  <c r="S60" i="1"/>
  <c r="N36" i="2"/>
  <c r="N138" i="2" s="1"/>
  <c r="N42" i="2"/>
  <c r="L63" i="1"/>
  <c r="L65" i="1"/>
  <c r="L64" i="1"/>
  <c r="AK11" i="2"/>
  <c r="AK113" i="2" s="1"/>
  <c r="AK19" i="2"/>
  <c r="AK121" i="2" s="1"/>
  <c r="AK27" i="2"/>
  <c r="AK129" i="2" s="1"/>
  <c r="AK35" i="2"/>
  <c r="AK137" i="2" s="1"/>
  <c r="AK43" i="2"/>
  <c r="AK145" i="2" s="1"/>
  <c r="AK12" i="2"/>
  <c r="AK114" i="2" s="1"/>
  <c r="AK20" i="2"/>
  <c r="AK122" i="2" s="1"/>
  <c r="AK28" i="2"/>
  <c r="AK130" i="2" s="1"/>
  <c r="AK36" i="2"/>
  <c r="AK138" i="2" s="1"/>
  <c r="AK44" i="2"/>
  <c r="AK146" i="2" s="1"/>
  <c r="AK13" i="2"/>
  <c r="AK115" i="2" s="1"/>
  <c r="AK21" i="2"/>
  <c r="AK123" i="2" s="1"/>
  <c r="AK29" i="2"/>
  <c r="AK131" i="2" s="1"/>
  <c r="AK37" i="2"/>
  <c r="AK139" i="2" s="1"/>
  <c r="AK45" i="2"/>
  <c r="AK147" i="2" s="1"/>
  <c r="AK14" i="2"/>
  <c r="AK116" i="2" s="1"/>
  <c r="AK22" i="2"/>
  <c r="AK124" i="2" s="1"/>
  <c r="AK30" i="2"/>
  <c r="AK132" i="2" s="1"/>
  <c r="AK38" i="2"/>
  <c r="AK140" i="2" s="1"/>
  <c r="AK46" i="2"/>
  <c r="AK148" i="2" s="1"/>
  <c r="AK8" i="2"/>
  <c r="AK110" i="2" s="1"/>
  <c r="AK16" i="2"/>
  <c r="AK118" i="2" s="1"/>
  <c r="AK24" i="2"/>
  <c r="AK126" i="2" s="1"/>
  <c r="AK32" i="2"/>
  <c r="AK134" i="2" s="1"/>
  <c r="AK40" i="2"/>
  <c r="AK142" i="2" s="1"/>
  <c r="AK48" i="2"/>
  <c r="AK150" i="2" s="1"/>
  <c r="AK9" i="2"/>
  <c r="AK111" i="2" s="1"/>
  <c r="AK17" i="2"/>
  <c r="AK119" i="2" s="1"/>
  <c r="AK25" i="2"/>
  <c r="AK127" i="2" s="1"/>
  <c r="AK33" i="2"/>
  <c r="AK135" i="2" s="1"/>
  <c r="AK41" i="2"/>
  <c r="AK143" i="2" s="1"/>
  <c r="AK49" i="2"/>
  <c r="AK151" i="2" s="1"/>
  <c r="AK31" i="2"/>
  <c r="AK133" i="2" s="1"/>
  <c r="AK34" i="2"/>
  <c r="AK136" i="2" s="1"/>
  <c r="AK7" i="2"/>
  <c r="AK109" i="2" s="1"/>
  <c r="AK39" i="2"/>
  <c r="AK141" i="2" s="1"/>
  <c r="AK10" i="2"/>
  <c r="AK112" i="2" s="1"/>
  <c r="AK42" i="2"/>
  <c r="AK144" i="2" s="1"/>
  <c r="AK15" i="2"/>
  <c r="AK117" i="2" s="1"/>
  <c r="AK47" i="2"/>
  <c r="AK149" i="2" s="1"/>
  <c r="AK18" i="2"/>
  <c r="AK120" i="2" s="1"/>
  <c r="AK50" i="2"/>
  <c r="AK152" i="2" s="1"/>
  <c r="AK23" i="2"/>
  <c r="AK125" i="2" s="1"/>
  <c r="AP7" i="2"/>
  <c r="AP109" i="2" s="1"/>
  <c r="AP15" i="2"/>
  <c r="AP117" i="2" s="1"/>
  <c r="AP23" i="2"/>
  <c r="AP125" i="2" s="1"/>
  <c r="AP31" i="2"/>
  <c r="AP133" i="2" s="1"/>
  <c r="AP39" i="2"/>
  <c r="AP141" i="2" s="1"/>
  <c r="AP47" i="2"/>
  <c r="AP149" i="2" s="1"/>
  <c r="AP8" i="2"/>
  <c r="AP110" i="2" s="1"/>
  <c r="AP16" i="2"/>
  <c r="AP118" i="2" s="1"/>
  <c r="AP24" i="2"/>
  <c r="AP126" i="2" s="1"/>
  <c r="AP32" i="2"/>
  <c r="AP134" i="2" s="1"/>
  <c r="AP40" i="2"/>
  <c r="AP142" i="2" s="1"/>
  <c r="AP48" i="2"/>
  <c r="AP150" i="2" s="1"/>
  <c r="AP9" i="2"/>
  <c r="AP111" i="2" s="1"/>
  <c r="AP17" i="2"/>
  <c r="AP119" i="2" s="1"/>
  <c r="AP25" i="2"/>
  <c r="AP127" i="2" s="1"/>
  <c r="AP33" i="2"/>
  <c r="AP135" i="2" s="1"/>
  <c r="AP41" i="2"/>
  <c r="AP143" i="2" s="1"/>
  <c r="AP49" i="2"/>
  <c r="AP151" i="2" s="1"/>
  <c r="AP10" i="2"/>
  <c r="AP112" i="2" s="1"/>
  <c r="AP18" i="2"/>
  <c r="AP120" i="2" s="1"/>
  <c r="AP26" i="2"/>
  <c r="AP128" i="2" s="1"/>
  <c r="AP34" i="2"/>
  <c r="AP136" i="2" s="1"/>
  <c r="AP42" i="2"/>
  <c r="AP144" i="2" s="1"/>
  <c r="AP50" i="2"/>
  <c r="AP152" i="2" s="1"/>
  <c r="AP12" i="2"/>
  <c r="AP114" i="2" s="1"/>
  <c r="AP20" i="2"/>
  <c r="AP122" i="2" s="1"/>
  <c r="AP28" i="2"/>
  <c r="AP130" i="2" s="1"/>
  <c r="AP36" i="2"/>
  <c r="AP138" i="2" s="1"/>
  <c r="AP44" i="2"/>
  <c r="AP146" i="2" s="1"/>
  <c r="AP13" i="2"/>
  <c r="AP115" i="2" s="1"/>
  <c r="AP21" i="2"/>
  <c r="AP123" i="2" s="1"/>
  <c r="AP29" i="2"/>
  <c r="AP131" i="2" s="1"/>
  <c r="AP37" i="2"/>
  <c r="AP139" i="2" s="1"/>
  <c r="AP45" i="2"/>
  <c r="AP147" i="2" s="1"/>
  <c r="AP27" i="2"/>
  <c r="AP129" i="2" s="1"/>
  <c r="AP30" i="2"/>
  <c r="AP132" i="2" s="1"/>
  <c r="AP35" i="2"/>
  <c r="AP137" i="2" s="1"/>
  <c r="AP38" i="2"/>
  <c r="AP140" i="2" s="1"/>
  <c r="AP11" i="2"/>
  <c r="AP113" i="2" s="1"/>
  <c r="AP43" i="2"/>
  <c r="AP145" i="2" s="1"/>
  <c r="AP14" i="2"/>
  <c r="AP116" i="2" s="1"/>
  <c r="AP46" i="2"/>
  <c r="AP148" i="2" s="1"/>
  <c r="AP19" i="2"/>
  <c r="AP121" i="2" s="1"/>
  <c r="AH7" i="2"/>
  <c r="AH109" i="2" s="1"/>
  <c r="AH15" i="2"/>
  <c r="AH117" i="2" s="1"/>
  <c r="AH23" i="2"/>
  <c r="AH125" i="2" s="1"/>
  <c r="AH31" i="2"/>
  <c r="AH133" i="2" s="1"/>
  <c r="AH39" i="2"/>
  <c r="AH141" i="2" s="1"/>
  <c r="AH47" i="2"/>
  <c r="AH149" i="2" s="1"/>
  <c r="AH8" i="2"/>
  <c r="AH110" i="2" s="1"/>
  <c r="AH16" i="2"/>
  <c r="AH118" i="2" s="1"/>
  <c r="AH24" i="2"/>
  <c r="AH126" i="2" s="1"/>
  <c r="AH32" i="2"/>
  <c r="AH134" i="2" s="1"/>
  <c r="AH40" i="2"/>
  <c r="AH142" i="2" s="1"/>
  <c r="AH48" i="2"/>
  <c r="AH150" i="2" s="1"/>
  <c r="AH9" i="2"/>
  <c r="AH111" i="2" s="1"/>
  <c r="AH17" i="2"/>
  <c r="AH119" i="2" s="1"/>
  <c r="AH25" i="2"/>
  <c r="AH127" i="2" s="1"/>
  <c r="AH33" i="2"/>
  <c r="AH135" i="2" s="1"/>
  <c r="AH41" i="2"/>
  <c r="AH143" i="2" s="1"/>
  <c r="AH49" i="2"/>
  <c r="AH151" i="2" s="1"/>
  <c r="AH10" i="2"/>
  <c r="AH112" i="2" s="1"/>
  <c r="AH18" i="2"/>
  <c r="AH120" i="2" s="1"/>
  <c r="AH26" i="2"/>
  <c r="AH128" i="2" s="1"/>
  <c r="AH34" i="2"/>
  <c r="AH136" i="2" s="1"/>
  <c r="AH42" i="2"/>
  <c r="AH144" i="2" s="1"/>
  <c r="AH50" i="2"/>
  <c r="AH152" i="2" s="1"/>
  <c r="AH12" i="2"/>
  <c r="AH114" i="2" s="1"/>
  <c r="AH20" i="2"/>
  <c r="AH122" i="2" s="1"/>
  <c r="AH28" i="2"/>
  <c r="AH130" i="2" s="1"/>
  <c r="AH36" i="2"/>
  <c r="AH138" i="2" s="1"/>
  <c r="AH44" i="2"/>
  <c r="AH146" i="2" s="1"/>
  <c r="AH13" i="2"/>
  <c r="AH115" i="2" s="1"/>
  <c r="AH21" i="2"/>
  <c r="AH123" i="2" s="1"/>
  <c r="AH29" i="2"/>
  <c r="AH131" i="2" s="1"/>
  <c r="AH37" i="2"/>
  <c r="AH139" i="2" s="1"/>
  <c r="AH45" i="2"/>
  <c r="AH147" i="2" s="1"/>
  <c r="AH27" i="2"/>
  <c r="AH129" i="2" s="1"/>
  <c r="AH30" i="2"/>
  <c r="AH132" i="2" s="1"/>
  <c r="AH35" i="2"/>
  <c r="AH137" i="2" s="1"/>
  <c r="AH38" i="2"/>
  <c r="AH140" i="2" s="1"/>
  <c r="AH11" i="2"/>
  <c r="AH113" i="2" s="1"/>
  <c r="AH43" i="2"/>
  <c r="AH145" i="2" s="1"/>
  <c r="AH14" i="2"/>
  <c r="AH116" i="2" s="1"/>
  <c r="AH46" i="2"/>
  <c r="AH148" i="2" s="1"/>
  <c r="AH19" i="2"/>
  <c r="AH121" i="2" s="1"/>
  <c r="Z7" i="2"/>
  <c r="Z109" i="2" s="1"/>
  <c r="Z15" i="2"/>
  <c r="Z117" i="2" s="1"/>
  <c r="Z23" i="2"/>
  <c r="Z125" i="2" s="1"/>
  <c r="Z31" i="2"/>
  <c r="Z133" i="2" s="1"/>
  <c r="Z39" i="2"/>
  <c r="Z141" i="2" s="1"/>
  <c r="Z47" i="2"/>
  <c r="Z149" i="2" s="1"/>
  <c r="Z8" i="2"/>
  <c r="Z110" i="2" s="1"/>
  <c r="Z16" i="2"/>
  <c r="Z118" i="2" s="1"/>
  <c r="Z24" i="2"/>
  <c r="Z126" i="2" s="1"/>
  <c r="Z32" i="2"/>
  <c r="Z134" i="2" s="1"/>
  <c r="Z40" i="2"/>
  <c r="Z142" i="2" s="1"/>
  <c r="Z48" i="2"/>
  <c r="Z150" i="2" s="1"/>
  <c r="Z9" i="2"/>
  <c r="Z111" i="2" s="1"/>
  <c r="Z17" i="2"/>
  <c r="Z119" i="2" s="1"/>
  <c r="Z25" i="2"/>
  <c r="Z127" i="2" s="1"/>
  <c r="Z33" i="2"/>
  <c r="Z135" i="2" s="1"/>
  <c r="Z41" i="2"/>
  <c r="Z143" i="2" s="1"/>
  <c r="Z49" i="2"/>
  <c r="Z151" i="2" s="1"/>
  <c r="Z10" i="2"/>
  <c r="Z112" i="2" s="1"/>
  <c r="Z18" i="2"/>
  <c r="Z120" i="2" s="1"/>
  <c r="Z26" i="2"/>
  <c r="Z128" i="2" s="1"/>
  <c r="Z34" i="2"/>
  <c r="Z136" i="2" s="1"/>
  <c r="Z42" i="2"/>
  <c r="Z144" i="2" s="1"/>
  <c r="Z50" i="2"/>
  <c r="Z152" i="2" s="1"/>
  <c r="Z12" i="2"/>
  <c r="Z114" i="2" s="1"/>
  <c r="Z20" i="2"/>
  <c r="Z122" i="2" s="1"/>
  <c r="Z28" i="2"/>
  <c r="Z130" i="2" s="1"/>
  <c r="Z36" i="2"/>
  <c r="Z138" i="2" s="1"/>
  <c r="Z44" i="2"/>
  <c r="Z146" i="2" s="1"/>
  <c r="Z13" i="2"/>
  <c r="Z115" i="2" s="1"/>
  <c r="Z21" i="2"/>
  <c r="Z123" i="2" s="1"/>
  <c r="Z29" i="2"/>
  <c r="Z131" i="2" s="1"/>
  <c r="Z37" i="2"/>
  <c r="Z139" i="2" s="1"/>
  <c r="Z45" i="2"/>
  <c r="Z147" i="2" s="1"/>
  <c r="Z27" i="2"/>
  <c r="Z129" i="2" s="1"/>
  <c r="Z30" i="2"/>
  <c r="Z132" i="2" s="1"/>
  <c r="Z35" i="2"/>
  <c r="Z137" i="2" s="1"/>
  <c r="Z38" i="2"/>
  <c r="Z140" i="2" s="1"/>
  <c r="Z11" i="2"/>
  <c r="Z113" i="2" s="1"/>
  <c r="Z43" i="2"/>
  <c r="Z145" i="2" s="1"/>
  <c r="Z14" i="2"/>
  <c r="Z116" i="2" s="1"/>
  <c r="Z46" i="2"/>
  <c r="Z148" i="2" s="1"/>
  <c r="Z19" i="2"/>
  <c r="Z121" i="2" s="1"/>
  <c r="R9" i="2"/>
  <c r="R111" i="2" s="1"/>
  <c r="R17" i="2"/>
  <c r="R119" i="2" s="1"/>
  <c r="R25" i="2"/>
  <c r="R127" i="2" s="1"/>
  <c r="R33" i="2"/>
  <c r="R135" i="2" s="1"/>
  <c r="R143" i="2"/>
  <c r="R49" i="2"/>
  <c r="R151" i="2" s="1"/>
  <c r="R12" i="2"/>
  <c r="R114" i="2" s="1"/>
  <c r="R20" i="2"/>
  <c r="R122" i="2" s="1"/>
  <c r="R28" i="2"/>
  <c r="R130" i="2" s="1"/>
  <c r="R36" i="2"/>
  <c r="R138" i="2" s="1"/>
  <c r="R44" i="2"/>
  <c r="R146" i="2" s="1"/>
  <c r="R15" i="2"/>
  <c r="R117" i="2" s="1"/>
  <c r="R26" i="2"/>
  <c r="R128" i="2" s="1"/>
  <c r="R37" i="2"/>
  <c r="R139" i="2" s="1"/>
  <c r="R47" i="2"/>
  <c r="R149" i="2" s="1"/>
  <c r="R16" i="2"/>
  <c r="R118" i="2" s="1"/>
  <c r="R27" i="2"/>
  <c r="R129" i="2" s="1"/>
  <c r="R38" i="2"/>
  <c r="R140" i="2" s="1"/>
  <c r="R48" i="2"/>
  <c r="R150" i="2" s="1"/>
  <c r="R7" i="2"/>
  <c r="R109" i="2" s="1"/>
  <c r="R18" i="2"/>
  <c r="R120" i="2" s="1"/>
  <c r="R29" i="2"/>
  <c r="R131" i="2" s="1"/>
  <c r="R39" i="2"/>
  <c r="R141" i="2" s="1"/>
  <c r="R50" i="2"/>
  <c r="R152" i="2" s="1"/>
  <c r="R8" i="2"/>
  <c r="R110" i="2" s="1"/>
  <c r="R19" i="2"/>
  <c r="R121" i="2" s="1"/>
  <c r="R30" i="2"/>
  <c r="R132" i="2" s="1"/>
  <c r="R40" i="2"/>
  <c r="R142" i="2" s="1"/>
  <c r="R10" i="2"/>
  <c r="R112" i="2" s="1"/>
  <c r="R21" i="2"/>
  <c r="R123" i="2" s="1"/>
  <c r="R31" i="2"/>
  <c r="R133" i="2" s="1"/>
  <c r="R42" i="2"/>
  <c r="R144" i="2" s="1"/>
  <c r="R11" i="2"/>
  <c r="R113" i="2" s="1"/>
  <c r="R22" i="2"/>
  <c r="R124" i="2" s="1"/>
  <c r="R32" i="2"/>
  <c r="R134" i="2" s="1"/>
  <c r="R43" i="2"/>
  <c r="R145" i="2" s="1"/>
  <c r="R13" i="2"/>
  <c r="R115" i="2" s="1"/>
  <c r="R23" i="2"/>
  <c r="R125" i="2" s="1"/>
  <c r="R34" i="2"/>
  <c r="R136" i="2" s="1"/>
  <c r="R45" i="2"/>
  <c r="R147" i="2" s="1"/>
  <c r="J14" i="2"/>
  <c r="J116" i="2" s="1"/>
  <c r="J22" i="2"/>
  <c r="J124" i="2" s="1"/>
  <c r="J7" i="2"/>
  <c r="J109" i="2" s="1"/>
  <c r="J15" i="2"/>
  <c r="J117" i="2" s="1"/>
  <c r="J23" i="2"/>
  <c r="J125" i="2" s="1"/>
  <c r="J31" i="2"/>
  <c r="J133" i="2" s="1"/>
  <c r="J39" i="2"/>
  <c r="J141" i="2" s="1"/>
  <c r="J47" i="2"/>
  <c r="J149" i="2" s="1"/>
  <c r="J10" i="2"/>
  <c r="J112" i="2" s="1"/>
  <c r="J18" i="2"/>
  <c r="J120" i="2" s="1"/>
  <c r="J26" i="2"/>
  <c r="J128" i="2" s="1"/>
  <c r="J34" i="2"/>
  <c r="J136" i="2" s="1"/>
  <c r="J42" i="2"/>
  <c r="J144" i="2" s="1"/>
  <c r="J50" i="2"/>
  <c r="J152" i="2" s="1"/>
  <c r="J11" i="2"/>
  <c r="J113" i="2" s="1"/>
  <c r="J19" i="2"/>
  <c r="J121" i="2" s="1"/>
  <c r="AO11" i="2"/>
  <c r="AO113" i="2" s="1"/>
  <c r="AO19" i="2"/>
  <c r="AO121" i="2" s="1"/>
  <c r="AO27" i="2"/>
  <c r="AO129" i="2" s="1"/>
  <c r="AO35" i="2"/>
  <c r="AO137" i="2" s="1"/>
  <c r="AO43" i="2"/>
  <c r="AO145" i="2" s="1"/>
  <c r="AO12" i="2"/>
  <c r="AO114" i="2" s="1"/>
  <c r="AO20" i="2"/>
  <c r="AO122" i="2" s="1"/>
  <c r="AO28" i="2"/>
  <c r="AO130" i="2" s="1"/>
  <c r="AO36" i="2"/>
  <c r="AO138" i="2" s="1"/>
  <c r="AO44" i="2"/>
  <c r="AO146" i="2" s="1"/>
  <c r="AO13" i="2"/>
  <c r="AO115" i="2" s="1"/>
  <c r="AO21" i="2"/>
  <c r="AO123" i="2" s="1"/>
  <c r="AO29" i="2"/>
  <c r="AO131" i="2" s="1"/>
  <c r="AO37" i="2"/>
  <c r="AO139" i="2" s="1"/>
  <c r="AO45" i="2"/>
  <c r="AO147" i="2" s="1"/>
  <c r="AO14" i="2"/>
  <c r="AO116" i="2" s="1"/>
  <c r="AO22" i="2"/>
  <c r="AO124" i="2" s="1"/>
  <c r="AO30" i="2"/>
  <c r="AO132" i="2" s="1"/>
  <c r="AO38" i="2"/>
  <c r="AO140" i="2" s="1"/>
  <c r="AO46" i="2"/>
  <c r="AO148" i="2" s="1"/>
  <c r="AO8" i="2"/>
  <c r="AO110" i="2" s="1"/>
  <c r="AO16" i="2"/>
  <c r="AO118" i="2" s="1"/>
  <c r="AO24" i="2"/>
  <c r="AO126" i="2" s="1"/>
  <c r="AO32" i="2"/>
  <c r="AO134" i="2" s="1"/>
  <c r="AO40" i="2"/>
  <c r="AO142" i="2" s="1"/>
  <c r="AO48" i="2"/>
  <c r="AO150" i="2" s="1"/>
  <c r="AO9" i="2"/>
  <c r="AO111" i="2" s="1"/>
  <c r="AO17" i="2"/>
  <c r="AO119" i="2" s="1"/>
  <c r="AO25" i="2"/>
  <c r="AO127" i="2" s="1"/>
  <c r="AO33" i="2"/>
  <c r="AO135" i="2" s="1"/>
  <c r="AO41" i="2"/>
  <c r="AO143" i="2" s="1"/>
  <c r="AO49" i="2"/>
  <c r="AO151" i="2" s="1"/>
  <c r="AO15" i="2"/>
  <c r="AO117" i="2" s="1"/>
  <c r="AO47" i="2"/>
  <c r="AO149" i="2" s="1"/>
  <c r="AO18" i="2"/>
  <c r="AO120" i="2" s="1"/>
  <c r="AO50" i="2"/>
  <c r="AO152" i="2" s="1"/>
  <c r="AO23" i="2"/>
  <c r="AO125" i="2" s="1"/>
  <c r="AO26" i="2"/>
  <c r="AO128" i="2" s="1"/>
  <c r="AO31" i="2"/>
  <c r="AO133" i="2" s="1"/>
  <c r="AO34" i="2"/>
  <c r="AO136" i="2" s="1"/>
  <c r="AO7" i="2"/>
  <c r="AO109" i="2" s="1"/>
  <c r="AO39" i="2"/>
  <c r="AO141" i="2" s="1"/>
  <c r="AG11" i="2"/>
  <c r="AG113" i="2" s="1"/>
  <c r="AG19" i="2"/>
  <c r="AG121" i="2" s="1"/>
  <c r="AG27" i="2"/>
  <c r="AG129" i="2" s="1"/>
  <c r="AG35" i="2"/>
  <c r="AG137" i="2" s="1"/>
  <c r="AG43" i="2"/>
  <c r="AG145" i="2" s="1"/>
  <c r="AG12" i="2"/>
  <c r="AG114" i="2" s="1"/>
  <c r="AG20" i="2"/>
  <c r="AG122" i="2" s="1"/>
  <c r="AG28" i="2"/>
  <c r="AG130" i="2" s="1"/>
  <c r="AG36" i="2"/>
  <c r="AG138" i="2" s="1"/>
  <c r="AG44" i="2"/>
  <c r="AG146" i="2" s="1"/>
  <c r="AG13" i="2"/>
  <c r="AG115" i="2" s="1"/>
  <c r="AG21" i="2"/>
  <c r="AG123" i="2" s="1"/>
  <c r="AG29" i="2"/>
  <c r="AG131" i="2" s="1"/>
  <c r="AG37" i="2"/>
  <c r="AG139" i="2" s="1"/>
  <c r="AG45" i="2"/>
  <c r="AG147" i="2" s="1"/>
  <c r="AG14" i="2"/>
  <c r="AG116" i="2" s="1"/>
  <c r="AG22" i="2"/>
  <c r="AG124" i="2" s="1"/>
  <c r="AG30" i="2"/>
  <c r="AG132" i="2" s="1"/>
  <c r="AG38" i="2"/>
  <c r="AG140" i="2" s="1"/>
  <c r="AG46" i="2"/>
  <c r="AG148" i="2" s="1"/>
  <c r="AG8" i="2"/>
  <c r="AG110" i="2" s="1"/>
  <c r="AG16" i="2"/>
  <c r="AG118" i="2" s="1"/>
  <c r="AG24" i="2"/>
  <c r="AG126" i="2" s="1"/>
  <c r="AG32" i="2"/>
  <c r="AG134" i="2" s="1"/>
  <c r="AG40" i="2"/>
  <c r="AG142" i="2" s="1"/>
  <c r="AG48" i="2"/>
  <c r="AG150" i="2" s="1"/>
  <c r="AG9" i="2"/>
  <c r="AG111" i="2" s="1"/>
  <c r="AG17" i="2"/>
  <c r="AG119" i="2" s="1"/>
  <c r="AG25" i="2"/>
  <c r="AG127" i="2" s="1"/>
  <c r="AG33" i="2"/>
  <c r="AG135" i="2" s="1"/>
  <c r="AG41" i="2"/>
  <c r="AG143" i="2" s="1"/>
  <c r="AG49" i="2"/>
  <c r="AG151" i="2" s="1"/>
  <c r="AG15" i="2"/>
  <c r="AG117" i="2" s="1"/>
  <c r="AG47" i="2"/>
  <c r="AG149" i="2" s="1"/>
  <c r="AG18" i="2"/>
  <c r="AG120" i="2" s="1"/>
  <c r="AG50" i="2"/>
  <c r="AG152" i="2" s="1"/>
  <c r="AG23" i="2"/>
  <c r="AG125" i="2" s="1"/>
  <c r="AG26" i="2"/>
  <c r="AG128" i="2" s="1"/>
  <c r="AG31" i="2"/>
  <c r="AG133" i="2" s="1"/>
  <c r="AG34" i="2"/>
  <c r="AG136" i="2" s="1"/>
  <c r="AG7" i="2"/>
  <c r="AG109" i="2" s="1"/>
  <c r="AG39" i="2"/>
  <c r="AG141" i="2" s="1"/>
  <c r="Y11" i="2"/>
  <c r="Y113" i="2" s="1"/>
  <c r="Y19" i="2"/>
  <c r="Y121" i="2" s="1"/>
  <c r="Y27" i="2"/>
  <c r="Y129" i="2" s="1"/>
  <c r="Y35" i="2"/>
  <c r="Y137" i="2" s="1"/>
  <c r="Y43" i="2"/>
  <c r="Y145" i="2" s="1"/>
  <c r="Y12" i="2"/>
  <c r="Y114" i="2" s="1"/>
  <c r="Y20" i="2"/>
  <c r="Y122" i="2" s="1"/>
  <c r="Y28" i="2"/>
  <c r="Y130" i="2" s="1"/>
  <c r="Y36" i="2"/>
  <c r="Y138" i="2" s="1"/>
  <c r="Y44" i="2"/>
  <c r="Y146" i="2" s="1"/>
  <c r="Y13" i="2"/>
  <c r="Y115" i="2" s="1"/>
  <c r="Y21" i="2"/>
  <c r="Y123" i="2" s="1"/>
  <c r="Y29" i="2"/>
  <c r="Y131" i="2" s="1"/>
  <c r="Y37" i="2"/>
  <c r="Y139" i="2" s="1"/>
  <c r="Y45" i="2"/>
  <c r="Y147" i="2" s="1"/>
  <c r="Y14" i="2"/>
  <c r="Y116" i="2" s="1"/>
  <c r="Y22" i="2"/>
  <c r="Y124" i="2" s="1"/>
  <c r="Y30" i="2"/>
  <c r="Y132" i="2" s="1"/>
  <c r="Y38" i="2"/>
  <c r="Y140" i="2" s="1"/>
  <c r="Y46" i="2"/>
  <c r="Y148" i="2" s="1"/>
  <c r="Y8" i="2"/>
  <c r="Y110" i="2" s="1"/>
  <c r="Y16" i="2"/>
  <c r="Y118" i="2" s="1"/>
  <c r="Y24" i="2"/>
  <c r="Y126" i="2" s="1"/>
  <c r="Y32" i="2"/>
  <c r="Y134" i="2" s="1"/>
  <c r="Y40" i="2"/>
  <c r="Y142" i="2" s="1"/>
  <c r="Y48" i="2"/>
  <c r="Y150" i="2" s="1"/>
  <c r="Y9" i="2"/>
  <c r="Y111" i="2" s="1"/>
  <c r="Y17" i="2"/>
  <c r="Y119" i="2" s="1"/>
  <c r="Y25" i="2"/>
  <c r="Y127" i="2" s="1"/>
  <c r="Y33" i="2"/>
  <c r="Y135" i="2" s="1"/>
  <c r="Y41" i="2"/>
  <c r="Y143" i="2" s="1"/>
  <c r="Y49" i="2"/>
  <c r="Y151" i="2" s="1"/>
  <c r="Y15" i="2"/>
  <c r="Y117" i="2" s="1"/>
  <c r="Y47" i="2"/>
  <c r="Y149" i="2" s="1"/>
  <c r="Y18" i="2"/>
  <c r="Y120" i="2" s="1"/>
  <c r="Y50" i="2"/>
  <c r="Y152" i="2" s="1"/>
  <c r="Y23" i="2"/>
  <c r="Y125" i="2" s="1"/>
  <c r="Y26" i="2"/>
  <c r="Y128" i="2" s="1"/>
  <c r="Y31" i="2"/>
  <c r="Y133" i="2" s="1"/>
  <c r="Y34" i="2"/>
  <c r="Y136" i="2" s="1"/>
  <c r="Y7" i="2"/>
  <c r="Y109" i="2" s="1"/>
  <c r="Y39" i="2"/>
  <c r="Y141" i="2" s="1"/>
  <c r="Q13" i="2"/>
  <c r="Q115" i="2" s="1"/>
  <c r="Q21" i="2"/>
  <c r="Q123" i="2" s="1"/>
  <c r="Q29" i="2"/>
  <c r="Q131" i="2" s="1"/>
  <c r="Q37" i="2"/>
  <c r="Q139" i="2" s="1"/>
  <c r="Q45" i="2"/>
  <c r="Q147" i="2" s="1"/>
  <c r="Q8" i="2"/>
  <c r="Q110" i="2" s="1"/>
  <c r="Q16" i="2"/>
  <c r="Q118" i="2" s="1"/>
  <c r="Q24" i="2"/>
  <c r="Q126" i="2" s="1"/>
  <c r="Q32" i="2"/>
  <c r="Q134" i="2" s="1"/>
  <c r="Q40" i="2"/>
  <c r="Q142" i="2" s="1"/>
  <c r="Q48" i="2"/>
  <c r="Q150" i="2" s="1"/>
  <c r="Q14" i="2"/>
  <c r="Q116" i="2" s="1"/>
  <c r="Q25" i="2"/>
  <c r="Q127" i="2" s="1"/>
  <c r="Q35" i="2"/>
  <c r="Q137" i="2" s="1"/>
  <c r="Q46" i="2"/>
  <c r="Q148" i="2" s="1"/>
  <c r="Q15" i="2"/>
  <c r="Q117" i="2" s="1"/>
  <c r="Q26" i="2"/>
  <c r="Q128" i="2" s="1"/>
  <c r="Q36" i="2"/>
  <c r="Q138" i="2" s="1"/>
  <c r="Q47" i="2"/>
  <c r="Q149" i="2" s="1"/>
  <c r="Q17" i="2"/>
  <c r="Q119" i="2" s="1"/>
  <c r="Q27" i="2"/>
  <c r="Q129" i="2" s="1"/>
  <c r="Q38" i="2"/>
  <c r="Q140" i="2" s="1"/>
  <c r="Q49" i="2"/>
  <c r="Q151" i="2" s="1"/>
  <c r="Q7" i="2"/>
  <c r="Q109" i="2" s="1"/>
  <c r="Q18" i="2"/>
  <c r="Q120" i="2" s="1"/>
  <c r="Q28" i="2"/>
  <c r="Q130" i="2" s="1"/>
  <c r="Q39" i="2"/>
  <c r="Q141" i="2" s="1"/>
  <c r="Q50" i="2"/>
  <c r="Q152" i="2" s="1"/>
  <c r="Q9" i="2"/>
  <c r="Q111" i="2" s="1"/>
  <c r="Q19" i="2"/>
  <c r="Q121" i="2" s="1"/>
  <c r="Q30" i="2"/>
  <c r="Q132" i="2" s="1"/>
  <c r="Q41" i="2"/>
  <c r="Q143" i="2" s="1"/>
  <c r="Q10" i="2"/>
  <c r="Q112" i="2" s="1"/>
  <c r="Q20" i="2"/>
  <c r="Q122" i="2" s="1"/>
  <c r="Q31" i="2"/>
  <c r="Q133" i="2" s="1"/>
  <c r="Q42" i="2"/>
  <c r="Q144" i="2" s="1"/>
  <c r="Q11" i="2"/>
  <c r="Q113" i="2" s="1"/>
  <c r="Q22" i="2"/>
  <c r="Q124" i="2" s="1"/>
  <c r="Q33" i="2"/>
  <c r="Q135" i="2" s="1"/>
  <c r="Q43" i="2"/>
  <c r="Q145" i="2" s="1"/>
  <c r="I11" i="2"/>
  <c r="I113" i="2" s="1"/>
  <c r="I19" i="2"/>
  <c r="I121" i="2" s="1"/>
  <c r="I27" i="2"/>
  <c r="I129" i="2" s="1"/>
  <c r="I35" i="2"/>
  <c r="I137" i="2" s="1"/>
  <c r="I43" i="2"/>
  <c r="I145" i="2" s="1"/>
  <c r="I14" i="2"/>
  <c r="I116" i="2" s="1"/>
  <c r="I22" i="2"/>
  <c r="I124" i="2" s="1"/>
  <c r="I30" i="2"/>
  <c r="I132" i="2" s="1"/>
  <c r="I38" i="2"/>
  <c r="I140" i="2" s="1"/>
  <c r="I46" i="2"/>
  <c r="I148" i="2" s="1"/>
  <c r="R60" i="1"/>
  <c r="B43" i="2"/>
  <c r="B145" i="2" s="1"/>
  <c r="B35" i="2"/>
  <c r="B137" i="2" s="1"/>
  <c r="B27" i="2"/>
  <c r="B129" i="2" s="1"/>
  <c r="B19" i="2"/>
  <c r="B121" i="2" s="1"/>
  <c r="B11" i="2"/>
  <c r="B113" i="2" s="1"/>
  <c r="C48" i="2"/>
  <c r="C150" i="2" s="1"/>
  <c r="C40" i="2"/>
  <c r="C142" i="2" s="1"/>
  <c r="C32" i="2"/>
  <c r="C134" i="2" s="1"/>
  <c r="C24" i="2"/>
  <c r="C126" i="2" s="1"/>
  <c r="C16" i="2"/>
  <c r="C118" i="2" s="1"/>
  <c r="C8" i="2"/>
  <c r="C110" i="2" s="1"/>
  <c r="I6" i="2"/>
  <c r="I108" i="2" s="1"/>
  <c r="Q6" i="2"/>
  <c r="Q108" i="2" s="1"/>
  <c r="Y6" i="2"/>
  <c r="Y108" i="2" s="1"/>
  <c r="AG6" i="2"/>
  <c r="AG108" i="2" s="1"/>
  <c r="AO6" i="2"/>
  <c r="AO108" i="2" s="1"/>
  <c r="D48" i="2"/>
  <c r="D150" i="2" s="1"/>
  <c r="D40" i="2"/>
  <c r="D142" i="2" s="1"/>
  <c r="D32" i="2"/>
  <c r="D134" i="2" s="1"/>
  <c r="D24" i="2"/>
  <c r="D126" i="2" s="1"/>
  <c r="D16" i="2"/>
  <c r="D118" i="2" s="1"/>
  <c r="D8" i="2"/>
  <c r="D110" i="2" s="1"/>
  <c r="E44" i="2"/>
  <c r="E146" i="2" s="1"/>
  <c r="E36" i="2"/>
  <c r="E138" i="2" s="1"/>
  <c r="E28" i="2"/>
  <c r="E130" i="2" s="1"/>
  <c r="E20" i="2"/>
  <c r="E122" i="2" s="1"/>
  <c r="E12" i="2"/>
  <c r="E114" i="2" s="1"/>
  <c r="F46" i="2"/>
  <c r="F148" i="2" s="1"/>
  <c r="F36" i="2"/>
  <c r="F138" i="2" s="1"/>
  <c r="F25" i="2"/>
  <c r="F127" i="2" s="1"/>
  <c r="F14" i="2"/>
  <c r="F116" i="2" s="1"/>
  <c r="G48" i="2"/>
  <c r="G150" i="2" s="1"/>
  <c r="G37" i="2"/>
  <c r="G139" i="2" s="1"/>
  <c r="G26" i="2"/>
  <c r="G128" i="2" s="1"/>
  <c r="G16" i="2"/>
  <c r="G118" i="2" s="1"/>
  <c r="H49" i="2"/>
  <c r="H151" i="2" s="1"/>
  <c r="H38" i="2"/>
  <c r="H140" i="2" s="1"/>
  <c r="H28" i="2"/>
  <c r="H130" i="2" s="1"/>
  <c r="H17" i="2"/>
  <c r="H119" i="2" s="1"/>
  <c r="I50" i="2"/>
  <c r="I152" i="2" s="1"/>
  <c r="I40" i="2"/>
  <c r="I142" i="2" s="1"/>
  <c r="I29" i="2"/>
  <c r="I131" i="2" s="1"/>
  <c r="I18" i="2"/>
  <c r="I120" i="2" s="1"/>
  <c r="I8" i="2"/>
  <c r="I110" i="2" s="1"/>
  <c r="J41" i="2"/>
  <c r="J143" i="2" s="1"/>
  <c r="J30" i="2"/>
  <c r="J132" i="2" s="1"/>
  <c r="J17" i="2"/>
  <c r="J119" i="2" s="1"/>
  <c r="K45" i="2"/>
  <c r="K147" i="2" s="1"/>
  <c r="K29" i="2"/>
  <c r="K131" i="2" s="1"/>
  <c r="L28" i="2"/>
  <c r="L130" i="2" s="1"/>
  <c r="O32" i="2"/>
  <c r="O134" i="2" s="1"/>
  <c r="Q44" i="2"/>
  <c r="Q146" i="2" s="1"/>
  <c r="S47" i="2"/>
  <c r="S149" i="2" s="1"/>
  <c r="U33" i="2"/>
  <c r="U135" i="2" s="1"/>
  <c r="X37" i="2"/>
  <c r="X139" i="2" s="1"/>
  <c r="AI34" i="2"/>
  <c r="AI136" i="2" s="1"/>
  <c r="AO42" i="2"/>
  <c r="AO144" i="2" s="1"/>
  <c r="B50" i="2"/>
  <c r="B152" i="2" s="1"/>
  <c r="B42" i="2"/>
  <c r="B144" i="2" s="1"/>
  <c r="B34" i="2"/>
  <c r="B136" i="2" s="1"/>
  <c r="B26" i="2"/>
  <c r="B128" i="2" s="1"/>
  <c r="B18" i="2"/>
  <c r="B120" i="2" s="1"/>
  <c r="B10" i="2"/>
  <c r="B112" i="2" s="1"/>
  <c r="C47" i="2"/>
  <c r="C149" i="2" s="1"/>
  <c r="C39" i="2"/>
  <c r="C141" i="2" s="1"/>
  <c r="C31" i="2"/>
  <c r="C133" i="2" s="1"/>
  <c r="C23" i="2"/>
  <c r="C125" i="2" s="1"/>
  <c r="C15" i="2"/>
  <c r="C117" i="2" s="1"/>
  <c r="C7" i="2"/>
  <c r="C109" i="2" s="1"/>
  <c r="J6" i="2"/>
  <c r="J108" i="2" s="1"/>
  <c r="R6" i="2"/>
  <c r="R108" i="2" s="1"/>
  <c r="Z6" i="2"/>
  <c r="Z108" i="2" s="1"/>
  <c r="AH6" i="2"/>
  <c r="AH108" i="2" s="1"/>
  <c r="AP6" i="2"/>
  <c r="AP108" i="2" s="1"/>
  <c r="D47" i="2"/>
  <c r="D149" i="2" s="1"/>
  <c r="D39" i="2"/>
  <c r="D141" i="2" s="1"/>
  <c r="D31" i="2"/>
  <c r="D133" i="2" s="1"/>
  <c r="D23" i="2"/>
  <c r="D125" i="2" s="1"/>
  <c r="D15" i="2"/>
  <c r="D117" i="2" s="1"/>
  <c r="D7" i="2"/>
  <c r="D109" i="2" s="1"/>
  <c r="E43" i="2"/>
  <c r="E145" i="2" s="1"/>
  <c r="E35" i="2"/>
  <c r="E137" i="2" s="1"/>
  <c r="E27" i="2"/>
  <c r="E129" i="2" s="1"/>
  <c r="E19" i="2"/>
  <c r="E121" i="2" s="1"/>
  <c r="E11" i="2"/>
  <c r="E113" i="2" s="1"/>
  <c r="F45" i="2"/>
  <c r="F147" i="2" s="1"/>
  <c r="F35" i="2"/>
  <c r="F137" i="2" s="1"/>
  <c r="F24" i="2"/>
  <c r="F126" i="2" s="1"/>
  <c r="F13" i="2"/>
  <c r="F115" i="2" s="1"/>
  <c r="G47" i="2"/>
  <c r="G149" i="2" s="1"/>
  <c r="G36" i="2"/>
  <c r="G138" i="2" s="1"/>
  <c r="G25" i="2"/>
  <c r="G127" i="2" s="1"/>
  <c r="H48" i="2"/>
  <c r="H150" i="2" s="1"/>
  <c r="H37" i="2"/>
  <c r="H139" i="2" s="1"/>
  <c r="H27" i="2"/>
  <c r="H129" i="2" s="1"/>
  <c r="H16" i="2"/>
  <c r="H118" i="2" s="1"/>
  <c r="I49" i="2"/>
  <c r="I151" i="2" s="1"/>
  <c r="I39" i="2"/>
  <c r="I141" i="2" s="1"/>
  <c r="I28" i="2"/>
  <c r="I130" i="2" s="1"/>
  <c r="I17" i="2"/>
  <c r="I119" i="2" s="1"/>
  <c r="I7" i="2"/>
  <c r="I109" i="2" s="1"/>
  <c r="J40" i="2"/>
  <c r="J142" i="2" s="1"/>
  <c r="J29" i="2"/>
  <c r="J131" i="2" s="1"/>
  <c r="J16" i="2"/>
  <c r="J118" i="2" s="1"/>
  <c r="K44" i="2"/>
  <c r="K146" i="2" s="1"/>
  <c r="K25" i="2"/>
  <c r="K127" i="2" s="1"/>
  <c r="N44" i="2"/>
  <c r="N146" i="2" s="1"/>
  <c r="Q34" i="2"/>
  <c r="Q136" i="2" s="1"/>
  <c r="S36" i="2"/>
  <c r="S138" i="2" s="1"/>
  <c r="U17" i="2"/>
  <c r="U119" i="2" s="1"/>
  <c r="AJ46" i="2"/>
  <c r="AJ148" i="2" s="1"/>
  <c r="AO10" i="2"/>
  <c r="AO112" i="2" s="1"/>
  <c r="L13" i="2"/>
  <c r="L115" i="2" s="1"/>
  <c r="L21" i="2"/>
  <c r="L123" i="2" s="1"/>
  <c r="L29" i="2"/>
  <c r="L131" i="2" s="1"/>
  <c r="L37" i="2"/>
  <c r="L139" i="2" s="1"/>
  <c r="L45" i="2"/>
  <c r="L147" i="2" s="1"/>
  <c r="L14" i="2"/>
  <c r="L116" i="2" s="1"/>
  <c r="L22" i="2"/>
  <c r="L124" i="2" s="1"/>
  <c r="L30" i="2"/>
  <c r="L132" i="2" s="1"/>
  <c r="L38" i="2"/>
  <c r="L140" i="2" s="1"/>
  <c r="L46" i="2"/>
  <c r="L148" i="2" s="1"/>
  <c r="L7" i="2"/>
  <c r="L109" i="2" s="1"/>
  <c r="L15" i="2"/>
  <c r="L117" i="2" s="1"/>
  <c r="L23" i="2"/>
  <c r="L125" i="2" s="1"/>
  <c r="L31" i="2"/>
  <c r="L133" i="2" s="1"/>
  <c r="L39" i="2"/>
  <c r="L141" i="2" s="1"/>
  <c r="L47" i="2"/>
  <c r="L149" i="2" s="1"/>
  <c r="L8" i="2"/>
  <c r="L110" i="2" s="1"/>
  <c r="L16" i="2"/>
  <c r="L118" i="2" s="1"/>
  <c r="L24" i="2"/>
  <c r="L126" i="2" s="1"/>
  <c r="L32" i="2"/>
  <c r="L134" i="2" s="1"/>
  <c r="L40" i="2"/>
  <c r="L142" i="2" s="1"/>
  <c r="L48" i="2"/>
  <c r="L150" i="2" s="1"/>
  <c r="L9" i="2"/>
  <c r="L111" i="2" s="1"/>
  <c r="L17" i="2"/>
  <c r="L119" i="2" s="1"/>
  <c r="L25" i="2"/>
  <c r="L127" i="2" s="1"/>
  <c r="L33" i="2"/>
  <c r="L135" i="2" s="1"/>
  <c r="L41" i="2"/>
  <c r="L143" i="2" s="1"/>
  <c r="L49" i="2"/>
  <c r="L151" i="2" s="1"/>
  <c r="L10" i="2"/>
  <c r="L112" i="2" s="1"/>
  <c r="L18" i="2"/>
  <c r="L120" i="2" s="1"/>
  <c r="L26" i="2"/>
  <c r="L128" i="2" s="1"/>
  <c r="L34" i="2"/>
  <c r="L136" i="2" s="1"/>
  <c r="L42" i="2"/>
  <c r="L144" i="2" s="1"/>
  <c r="L50" i="2"/>
  <c r="L152" i="2" s="1"/>
  <c r="L11" i="2"/>
  <c r="L113" i="2" s="1"/>
  <c r="L19" i="2"/>
  <c r="L121" i="2" s="1"/>
  <c r="L27" i="2"/>
  <c r="L129" i="2" s="1"/>
  <c r="L35" i="2"/>
  <c r="L137" i="2" s="1"/>
  <c r="L43" i="2"/>
  <c r="L145" i="2" s="1"/>
  <c r="AN7" i="2"/>
  <c r="AN109" i="2" s="1"/>
  <c r="AN15" i="2"/>
  <c r="AN117" i="2" s="1"/>
  <c r="AN23" i="2"/>
  <c r="AN125" i="2" s="1"/>
  <c r="AN31" i="2"/>
  <c r="AN133" i="2" s="1"/>
  <c r="AN39" i="2"/>
  <c r="AN141" i="2" s="1"/>
  <c r="AN47" i="2"/>
  <c r="AN149" i="2" s="1"/>
  <c r="AN8" i="2"/>
  <c r="AN110" i="2" s="1"/>
  <c r="AN16" i="2"/>
  <c r="AN118" i="2" s="1"/>
  <c r="AN24" i="2"/>
  <c r="AN126" i="2" s="1"/>
  <c r="AN32" i="2"/>
  <c r="AN134" i="2" s="1"/>
  <c r="AN40" i="2"/>
  <c r="AN142" i="2" s="1"/>
  <c r="AN48" i="2"/>
  <c r="AN150" i="2" s="1"/>
  <c r="AN9" i="2"/>
  <c r="AN111" i="2" s="1"/>
  <c r="AN17" i="2"/>
  <c r="AN119" i="2" s="1"/>
  <c r="AN25" i="2"/>
  <c r="AN127" i="2" s="1"/>
  <c r="AN33" i="2"/>
  <c r="AN135" i="2" s="1"/>
  <c r="AN41" i="2"/>
  <c r="AN143" i="2" s="1"/>
  <c r="AN49" i="2"/>
  <c r="AN151" i="2" s="1"/>
  <c r="AN10" i="2"/>
  <c r="AN112" i="2" s="1"/>
  <c r="AN18" i="2"/>
  <c r="AN120" i="2" s="1"/>
  <c r="AN26" i="2"/>
  <c r="AN128" i="2" s="1"/>
  <c r="AN34" i="2"/>
  <c r="AN136" i="2" s="1"/>
  <c r="AN42" i="2"/>
  <c r="AN144" i="2" s="1"/>
  <c r="AN50" i="2"/>
  <c r="AN152" i="2" s="1"/>
  <c r="AN12" i="2"/>
  <c r="AN114" i="2" s="1"/>
  <c r="AN20" i="2"/>
  <c r="AN122" i="2" s="1"/>
  <c r="AN28" i="2"/>
  <c r="AN130" i="2" s="1"/>
  <c r="AN36" i="2"/>
  <c r="AN138" i="2" s="1"/>
  <c r="AN44" i="2"/>
  <c r="AN146" i="2" s="1"/>
  <c r="AN13" i="2"/>
  <c r="AN115" i="2" s="1"/>
  <c r="AN21" i="2"/>
  <c r="AN123" i="2" s="1"/>
  <c r="AN29" i="2"/>
  <c r="AN131" i="2" s="1"/>
  <c r="AN37" i="2"/>
  <c r="AN139" i="2" s="1"/>
  <c r="AN45" i="2"/>
  <c r="AN147" i="2" s="1"/>
  <c r="AN35" i="2"/>
  <c r="AN137" i="2" s="1"/>
  <c r="AN38" i="2"/>
  <c r="AN140" i="2" s="1"/>
  <c r="AN11" i="2"/>
  <c r="AN113" i="2" s="1"/>
  <c r="AN43" i="2"/>
  <c r="AN145" i="2" s="1"/>
  <c r="AN14" i="2"/>
  <c r="AN116" i="2" s="1"/>
  <c r="AN46" i="2"/>
  <c r="AN148" i="2" s="1"/>
  <c r="AN19" i="2"/>
  <c r="AN121" i="2" s="1"/>
  <c r="AN22" i="2"/>
  <c r="AN124" i="2" s="1"/>
  <c r="AN27" i="2"/>
  <c r="AN129" i="2" s="1"/>
  <c r="X7" i="2"/>
  <c r="X109" i="2" s="1"/>
  <c r="X8" i="2"/>
  <c r="X110" i="2" s="1"/>
  <c r="X16" i="2"/>
  <c r="X118" i="2" s="1"/>
  <c r="X24" i="2"/>
  <c r="X126" i="2" s="1"/>
  <c r="X32" i="2"/>
  <c r="X134" i="2" s="1"/>
  <c r="X40" i="2"/>
  <c r="X142" i="2" s="1"/>
  <c r="X48" i="2"/>
  <c r="X150" i="2" s="1"/>
  <c r="X9" i="2"/>
  <c r="X111" i="2" s="1"/>
  <c r="X17" i="2"/>
  <c r="X119" i="2" s="1"/>
  <c r="X25" i="2"/>
  <c r="X127" i="2" s="1"/>
  <c r="X33" i="2"/>
  <c r="X135" i="2" s="1"/>
  <c r="X41" i="2"/>
  <c r="X143" i="2" s="1"/>
  <c r="X49" i="2"/>
  <c r="X151" i="2" s="1"/>
  <c r="X10" i="2"/>
  <c r="X112" i="2" s="1"/>
  <c r="X18" i="2"/>
  <c r="X120" i="2" s="1"/>
  <c r="X26" i="2"/>
  <c r="X128" i="2" s="1"/>
  <c r="X34" i="2"/>
  <c r="X136" i="2" s="1"/>
  <c r="X42" i="2"/>
  <c r="X144" i="2" s="1"/>
  <c r="X50" i="2"/>
  <c r="X152" i="2" s="1"/>
  <c r="X12" i="2"/>
  <c r="X114" i="2" s="1"/>
  <c r="X20" i="2"/>
  <c r="X122" i="2" s="1"/>
  <c r="X28" i="2"/>
  <c r="X130" i="2" s="1"/>
  <c r="X36" i="2"/>
  <c r="X138" i="2" s="1"/>
  <c r="X44" i="2"/>
  <c r="X146" i="2" s="1"/>
  <c r="X22" i="2"/>
  <c r="X124" i="2" s="1"/>
  <c r="X38" i="2"/>
  <c r="X140" i="2" s="1"/>
  <c r="X23" i="2"/>
  <c r="X125" i="2" s="1"/>
  <c r="X39" i="2"/>
  <c r="X141" i="2" s="1"/>
  <c r="X11" i="2"/>
  <c r="X113" i="2" s="1"/>
  <c r="X27" i="2"/>
  <c r="X129" i="2" s="1"/>
  <c r="X43" i="2"/>
  <c r="X145" i="2" s="1"/>
  <c r="X13" i="2"/>
  <c r="X115" i="2" s="1"/>
  <c r="X29" i="2"/>
  <c r="X131" i="2" s="1"/>
  <c r="X45" i="2"/>
  <c r="X147" i="2" s="1"/>
  <c r="X14" i="2"/>
  <c r="X116" i="2" s="1"/>
  <c r="X30" i="2"/>
  <c r="X132" i="2" s="1"/>
  <c r="X46" i="2"/>
  <c r="X148" i="2" s="1"/>
  <c r="X15" i="2"/>
  <c r="X117" i="2" s="1"/>
  <c r="X31" i="2"/>
  <c r="X133" i="2" s="1"/>
  <c r="X47" i="2"/>
  <c r="X149" i="2" s="1"/>
  <c r="X19" i="2"/>
  <c r="X121" i="2" s="1"/>
  <c r="X35" i="2"/>
  <c r="X137" i="2" s="1"/>
  <c r="P9" i="2"/>
  <c r="P111" i="2" s="1"/>
  <c r="P17" i="2"/>
  <c r="P119" i="2" s="1"/>
  <c r="P25" i="2"/>
  <c r="P127" i="2" s="1"/>
  <c r="P33" i="2"/>
  <c r="P135" i="2" s="1"/>
  <c r="P41" i="2"/>
  <c r="P143" i="2" s="1"/>
  <c r="P12" i="2"/>
  <c r="P114" i="2" s="1"/>
  <c r="P20" i="2"/>
  <c r="P122" i="2" s="1"/>
  <c r="P28" i="2"/>
  <c r="P130" i="2" s="1"/>
  <c r="P36" i="2"/>
  <c r="P138" i="2" s="1"/>
  <c r="P44" i="2"/>
  <c r="P146" i="2" s="1"/>
  <c r="P13" i="2"/>
  <c r="P115" i="2" s="1"/>
  <c r="P23" i="2"/>
  <c r="P125" i="2" s="1"/>
  <c r="P34" i="2"/>
  <c r="P136" i="2" s="1"/>
  <c r="P45" i="2"/>
  <c r="P147" i="2" s="1"/>
  <c r="P14" i="2"/>
  <c r="P116" i="2" s="1"/>
  <c r="P24" i="2"/>
  <c r="P126" i="2" s="1"/>
  <c r="P35" i="2"/>
  <c r="P137" i="2" s="1"/>
  <c r="P46" i="2"/>
  <c r="P148" i="2" s="1"/>
  <c r="P15" i="2"/>
  <c r="P117" i="2" s="1"/>
  <c r="P26" i="2"/>
  <c r="P128" i="2" s="1"/>
  <c r="P37" i="2"/>
  <c r="P139" i="2" s="1"/>
  <c r="P47" i="2"/>
  <c r="P149" i="2" s="1"/>
  <c r="P16" i="2"/>
  <c r="P118" i="2" s="1"/>
  <c r="P27" i="2"/>
  <c r="P129" i="2" s="1"/>
  <c r="P38" i="2"/>
  <c r="P140" i="2" s="1"/>
  <c r="P48" i="2"/>
  <c r="P150" i="2" s="1"/>
  <c r="P7" i="2"/>
  <c r="P109" i="2" s="1"/>
  <c r="P18" i="2"/>
  <c r="P120" i="2" s="1"/>
  <c r="P29" i="2"/>
  <c r="P131" i="2" s="1"/>
  <c r="P39" i="2"/>
  <c r="P141" i="2" s="1"/>
  <c r="P49" i="2"/>
  <c r="P151" i="2" s="1"/>
  <c r="P8" i="2"/>
  <c r="P110" i="2" s="1"/>
  <c r="P19" i="2"/>
  <c r="P121" i="2" s="1"/>
  <c r="P30" i="2"/>
  <c r="P132" i="2" s="1"/>
  <c r="P40" i="2"/>
  <c r="P142" i="2" s="1"/>
  <c r="P50" i="2"/>
  <c r="P152" i="2" s="1"/>
  <c r="P10" i="2"/>
  <c r="P112" i="2" s="1"/>
  <c r="P21" i="2"/>
  <c r="P123" i="2" s="1"/>
  <c r="P31" i="2"/>
  <c r="P133" i="2" s="1"/>
  <c r="P42" i="2"/>
  <c r="P144" i="2" s="1"/>
  <c r="AM11" i="2"/>
  <c r="AM113" i="2" s="1"/>
  <c r="AM19" i="2"/>
  <c r="AM121" i="2" s="1"/>
  <c r="AM27" i="2"/>
  <c r="AM129" i="2" s="1"/>
  <c r="AM35" i="2"/>
  <c r="AM137" i="2" s="1"/>
  <c r="AM43" i="2"/>
  <c r="AM145" i="2" s="1"/>
  <c r="AM12" i="2"/>
  <c r="AM114" i="2" s="1"/>
  <c r="AM20" i="2"/>
  <c r="AM122" i="2" s="1"/>
  <c r="AM28" i="2"/>
  <c r="AM130" i="2" s="1"/>
  <c r="AM36" i="2"/>
  <c r="AM138" i="2" s="1"/>
  <c r="AM44" i="2"/>
  <c r="AM146" i="2" s="1"/>
  <c r="AM13" i="2"/>
  <c r="AM115" i="2" s="1"/>
  <c r="AM21" i="2"/>
  <c r="AM123" i="2" s="1"/>
  <c r="AM29" i="2"/>
  <c r="AM131" i="2" s="1"/>
  <c r="AM37" i="2"/>
  <c r="AM139" i="2" s="1"/>
  <c r="AM45" i="2"/>
  <c r="AM147" i="2" s="1"/>
  <c r="AM14" i="2"/>
  <c r="AM116" i="2" s="1"/>
  <c r="AM22" i="2"/>
  <c r="AM124" i="2" s="1"/>
  <c r="AM30" i="2"/>
  <c r="AM132" i="2" s="1"/>
  <c r="AM38" i="2"/>
  <c r="AM140" i="2" s="1"/>
  <c r="AM46" i="2"/>
  <c r="AM148" i="2" s="1"/>
  <c r="AM8" i="2"/>
  <c r="AM110" i="2" s="1"/>
  <c r="AM16" i="2"/>
  <c r="AM118" i="2" s="1"/>
  <c r="AM24" i="2"/>
  <c r="AM126" i="2" s="1"/>
  <c r="AM32" i="2"/>
  <c r="AM134" i="2" s="1"/>
  <c r="AM40" i="2"/>
  <c r="AM142" i="2" s="1"/>
  <c r="AM48" i="2"/>
  <c r="AM150" i="2" s="1"/>
  <c r="AM9" i="2"/>
  <c r="AM111" i="2" s="1"/>
  <c r="AM17" i="2"/>
  <c r="AM119" i="2" s="1"/>
  <c r="AM25" i="2"/>
  <c r="AM127" i="2" s="1"/>
  <c r="AM33" i="2"/>
  <c r="AM135" i="2" s="1"/>
  <c r="AM41" i="2"/>
  <c r="AM143" i="2" s="1"/>
  <c r="AM49" i="2"/>
  <c r="AM151" i="2" s="1"/>
  <c r="AM23" i="2"/>
  <c r="AM125" i="2" s="1"/>
  <c r="AM26" i="2"/>
  <c r="AM128" i="2" s="1"/>
  <c r="AM31" i="2"/>
  <c r="AM133" i="2" s="1"/>
  <c r="AM34" i="2"/>
  <c r="AM136" i="2" s="1"/>
  <c r="AM7" i="2"/>
  <c r="AM109" i="2" s="1"/>
  <c r="AM39" i="2"/>
  <c r="AM141" i="2" s="1"/>
  <c r="AM10" i="2"/>
  <c r="AM112" i="2" s="1"/>
  <c r="AM42" i="2"/>
  <c r="AM144" i="2" s="1"/>
  <c r="AM15" i="2"/>
  <c r="AM117" i="2" s="1"/>
  <c r="AM47" i="2"/>
  <c r="AM149" i="2" s="1"/>
  <c r="AE11" i="2"/>
  <c r="AE113" i="2" s="1"/>
  <c r="AE19" i="2"/>
  <c r="AE121" i="2" s="1"/>
  <c r="AE27" i="2"/>
  <c r="AE129" i="2" s="1"/>
  <c r="AE35" i="2"/>
  <c r="AE137" i="2" s="1"/>
  <c r="AE43" i="2"/>
  <c r="AE145" i="2" s="1"/>
  <c r="AE12" i="2"/>
  <c r="AE114" i="2" s="1"/>
  <c r="AE20" i="2"/>
  <c r="AE122" i="2" s="1"/>
  <c r="AE28" i="2"/>
  <c r="AE130" i="2" s="1"/>
  <c r="AE36" i="2"/>
  <c r="AE138" i="2" s="1"/>
  <c r="AE44" i="2"/>
  <c r="AE146" i="2" s="1"/>
  <c r="AE13" i="2"/>
  <c r="AE115" i="2" s="1"/>
  <c r="AE21" i="2"/>
  <c r="AE123" i="2" s="1"/>
  <c r="AE29" i="2"/>
  <c r="AE131" i="2" s="1"/>
  <c r="AE37" i="2"/>
  <c r="AE139" i="2" s="1"/>
  <c r="AE45" i="2"/>
  <c r="AE147" i="2" s="1"/>
  <c r="AE14" i="2"/>
  <c r="AE116" i="2" s="1"/>
  <c r="AE22" i="2"/>
  <c r="AE124" i="2" s="1"/>
  <c r="AE30" i="2"/>
  <c r="AE132" i="2" s="1"/>
  <c r="AE38" i="2"/>
  <c r="AE140" i="2" s="1"/>
  <c r="AE46" i="2"/>
  <c r="AE148" i="2" s="1"/>
  <c r="AE8" i="2"/>
  <c r="AE110" i="2" s="1"/>
  <c r="AE16" i="2"/>
  <c r="AE118" i="2" s="1"/>
  <c r="AE24" i="2"/>
  <c r="AE126" i="2" s="1"/>
  <c r="AE32" i="2"/>
  <c r="AE134" i="2" s="1"/>
  <c r="AE40" i="2"/>
  <c r="AE142" i="2" s="1"/>
  <c r="AE48" i="2"/>
  <c r="AE150" i="2" s="1"/>
  <c r="AE9" i="2"/>
  <c r="AE111" i="2" s="1"/>
  <c r="AE17" i="2"/>
  <c r="AE119" i="2" s="1"/>
  <c r="AE25" i="2"/>
  <c r="AE127" i="2" s="1"/>
  <c r="AE33" i="2"/>
  <c r="AE135" i="2" s="1"/>
  <c r="AE41" i="2"/>
  <c r="AE143" i="2" s="1"/>
  <c r="AE49" i="2"/>
  <c r="AE151" i="2" s="1"/>
  <c r="AE23" i="2"/>
  <c r="AE125" i="2" s="1"/>
  <c r="AE26" i="2"/>
  <c r="AE128" i="2" s="1"/>
  <c r="AE31" i="2"/>
  <c r="AE133" i="2" s="1"/>
  <c r="AE34" i="2"/>
  <c r="AE136" i="2" s="1"/>
  <c r="AE7" i="2"/>
  <c r="AE109" i="2" s="1"/>
  <c r="AE39" i="2"/>
  <c r="AE141" i="2" s="1"/>
  <c r="AE10" i="2"/>
  <c r="AE112" i="2" s="1"/>
  <c r="AE42" i="2"/>
  <c r="AE144" i="2" s="1"/>
  <c r="AE15" i="2"/>
  <c r="AE117" i="2" s="1"/>
  <c r="AE47" i="2"/>
  <c r="AE149" i="2" s="1"/>
  <c r="W12" i="2"/>
  <c r="W114" i="2" s="1"/>
  <c r="W20" i="2"/>
  <c r="W122" i="2" s="1"/>
  <c r="W28" i="2"/>
  <c r="W130" i="2" s="1"/>
  <c r="W36" i="2"/>
  <c r="W138" i="2" s="1"/>
  <c r="W44" i="2"/>
  <c r="W146" i="2" s="1"/>
  <c r="W13" i="2"/>
  <c r="W115" i="2" s="1"/>
  <c r="W21" i="2"/>
  <c r="W123" i="2" s="1"/>
  <c r="W29" i="2"/>
  <c r="W131" i="2" s="1"/>
  <c r="W37" i="2"/>
  <c r="W139" i="2" s="1"/>
  <c r="W45" i="2"/>
  <c r="W147" i="2" s="1"/>
  <c r="W14" i="2"/>
  <c r="W116" i="2" s="1"/>
  <c r="W22" i="2"/>
  <c r="W124" i="2" s="1"/>
  <c r="W30" i="2"/>
  <c r="W132" i="2" s="1"/>
  <c r="W38" i="2"/>
  <c r="W140" i="2" s="1"/>
  <c r="W46" i="2"/>
  <c r="W148" i="2" s="1"/>
  <c r="W8" i="2"/>
  <c r="W110" i="2" s="1"/>
  <c r="W16" i="2"/>
  <c r="W118" i="2" s="1"/>
  <c r="W24" i="2"/>
  <c r="W126" i="2" s="1"/>
  <c r="W32" i="2"/>
  <c r="W134" i="2" s="1"/>
  <c r="W40" i="2"/>
  <c r="W142" i="2" s="1"/>
  <c r="W48" i="2"/>
  <c r="W150" i="2" s="1"/>
  <c r="W10" i="2"/>
  <c r="W112" i="2" s="1"/>
  <c r="W26" i="2"/>
  <c r="W128" i="2" s="1"/>
  <c r="W42" i="2"/>
  <c r="W144" i="2" s="1"/>
  <c r="W11" i="2"/>
  <c r="W113" i="2" s="1"/>
  <c r="W27" i="2"/>
  <c r="W129" i="2" s="1"/>
  <c r="W43" i="2"/>
  <c r="W145" i="2" s="1"/>
  <c r="W15" i="2"/>
  <c r="W117" i="2" s="1"/>
  <c r="W31" i="2"/>
  <c r="W133" i="2" s="1"/>
  <c r="W47" i="2"/>
  <c r="W149" i="2" s="1"/>
  <c r="W17" i="2"/>
  <c r="W119" i="2" s="1"/>
  <c r="W33" i="2"/>
  <c r="W135" i="2" s="1"/>
  <c r="W49" i="2"/>
  <c r="W151" i="2" s="1"/>
  <c r="W18" i="2"/>
  <c r="W120" i="2" s="1"/>
  <c r="W34" i="2"/>
  <c r="W136" i="2" s="1"/>
  <c r="W50" i="2"/>
  <c r="W152" i="2" s="1"/>
  <c r="W19" i="2"/>
  <c r="W121" i="2" s="1"/>
  <c r="W35" i="2"/>
  <c r="W137" i="2" s="1"/>
  <c r="W7" i="2"/>
  <c r="W109" i="2" s="1"/>
  <c r="W23" i="2"/>
  <c r="W125" i="2" s="1"/>
  <c r="W39" i="2"/>
  <c r="W141" i="2" s="1"/>
  <c r="O9" i="2"/>
  <c r="O111" i="2" s="1"/>
  <c r="O17" i="2"/>
  <c r="O119" i="2" s="1"/>
  <c r="O25" i="2"/>
  <c r="O127" i="2" s="1"/>
  <c r="O33" i="2"/>
  <c r="O135" i="2" s="1"/>
  <c r="O41" i="2"/>
  <c r="O143" i="2" s="1"/>
  <c r="O49" i="2"/>
  <c r="O151" i="2" s="1"/>
  <c r="O10" i="2"/>
  <c r="O112" i="2" s="1"/>
  <c r="O18" i="2"/>
  <c r="O120" i="2" s="1"/>
  <c r="O26" i="2"/>
  <c r="O128" i="2" s="1"/>
  <c r="O34" i="2"/>
  <c r="O136" i="2" s="1"/>
  <c r="O42" i="2"/>
  <c r="O144" i="2" s="1"/>
  <c r="O50" i="2"/>
  <c r="O152" i="2" s="1"/>
  <c r="O11" i="2"/>
  <c r="O113" i="2" s="1"/>
  <c r="O19" i="2"/>
  <c r="O121" i="2" s="1"/>
  <c r="O27" i="2"/>
  <c r="O129" i="2" s="1"/>
  <c r="O35" i="2"/>
  <c r="O137" i="2" s="1"/>
  <c r="O43" i="2"/>
  <c r="O145" i="2" s="1"/>
  <c r="O12" i="2"/>
  <c r="O114" i="2" s="1"/>
  <c r="O20" i="2"/>
  <c r="O122" i="2" s="1"/>
  <c r="O28" i="2"/>
  <c r="O130" i="2" s="1"/>
  <c r="O36" i="2"/>
  <c r="O138" i="2" s="1"/>
  <c r="O44" i="2"/>
  <c r="O146" i="2" s="1"/>
  <c r="O13" i="2"/>
  <c r="O115" i="2" s="1"/>
  <c r="O21" i="2"/>
  <c r="O123" i="2" s="1"/>
  <c r="O29" i="2"/>
  <c r="O131" i="2" s="1"/>
  <c r="O37" i="2"/>
  <c r="O139" i="2" s="1"/>
  <c r="O45" i="2"/>
  <c r="O147" i="2" s="1"/>
  <c r="O14" i="2"/>
  <c r="O116" i="2" s="1"/>
  <c r="O22" i="2"/>
  <c r="O124" i="2" s="1"/>
  <c r="O30" i="2"/>
  <c r="O132" i="2" s="1"/>
  <c r="O38" i="2"/>
  <c r="O140" i="2" s="1"/>
  <c r="O46" i="2"/>
  <c r="O148" i="2" s="1"/>
  <c r="O7" i="2"/>
  <c r="O109" i="2" s="1"/>
  <c r="O15" i="2"/>
  <c r="O117" i="2" s="1"/>
  <c r="O23" i="2"/>
  <c r="O125" i="2" s="1"/>
  <c r="O31" i="2"/>
  <c r="O133" i="2" s="1"/>
  <c r="O39" i="2"/>
  <c r="O141" i="2" s="1"/>
  <c r="O47" i="2"/>
  <c r="O149" i="2" s="1"/>
  <c r="G11" i="2"/>
  <c r="G113" i="2" s="1"/>
  <c r="G19" i="2"/>
  <c r="G121" i="2" s="1"/>
  <c r="G27" i="2"/>
  <c r="G129" i="2" s="1"/>
  <c r="G35" i="2"/>
  <c r="G137" i="2" s="1"/>
  <c r="G43" i="2"/>
  <c r="G145" i="2" s="1"/>
  <c r="G14" i="2"/>
  <c r="G116" i="2" s="1"/>
  <c r="G22" i="2"/>
  <c r="G124" i="2" s="1"/>
  <c r="G30" i="2"/>
  <c r="G132" i="2" s="1"/>
  <c r="G38" i="2"/>
  <c r="G140" i="2" s="1"/>
  <c r="G46" i="2"/>
  <c r="G148" i="2" s="1"/>
  <c r="B49" i="2"/>
  <c r="B151" i="2" s="1"/>
  <c r="B41" i="2"/>
  <c r="B143" i="2" s="1"/>
  <c r="B33" i="2"/>
  <c r="B135" i="2" s="1"/>
  <c r="B25" i="2"/>
  <c r="B127" i="2" s="1"/>
  <c r="B17" i="2"/>
  <c r="B119" i="2" s="1"/>
  <c r="B9" i="2"/>
  <c r="B111" i="2" s="1"/>
  <c r="C46" i="2"/>
  <c r="C148" i="2" s="1"/>
  <c r="C38" i="2"/>
  <c r="C140" i="2" s="1"/>
  <c r="C30" i="2"/>
  <c r="C132" i="2" s="1"/>
  <c r="C22" i="2"/>
  <c r="C124" i="2" s="1"/>
  <c r="C14" i="2"/>
  <c r="C116" i="2" s="1"/>
  <c r="C6" i="2"/>
  <c r="C108" i="2" s="1"/>
  <c r="K6" i="2"/>
  <c r="K108" i="2" s="1"/>
  <c r="S6" i="2"/>
  <c r="S108" i="2" s="1"/>
  <c r="AA6" i="2"/>
  <c r="AA108" i="2" s="1"/>
  <c r="AQ6" i="2"/>
  <c r="AQ108" i="2" s="1"/>
  <c r="D46" i="2"/>
  <c r="D148" i="2" s="1"/>
  <c r="D38" i="2"/>
  <c r="D140" i="2" s="1"/>
  <c r="D30" i="2"/>
  <c r="D132" i="2" s="1"/>
  <c r="D22" i="2"/>
  <c r="D124" i="2" s="1"/>
  <c r="D14" i="2"/>
  <c r="D116" i="2" s="1"/>
  <c r="E50" i="2"/>
  <c r="E152" i="2" s="1"/>
  <c r="E42" i="2"/>
  <c r="E144" i="2" s="1"/>
  <c r="E34" i="2"/>
  <c r="E136" i="2" s="1"/>
  <c r="E26" i="2"/>
  <c r="E128" i="2" s="1"/>
  <c r="E18" i="2"/>
  <c r="E120" i="2" s="1"/>
  <c r="E10" i="2"/>
  <c r="E112" i="2" s="1"/>
  <c r="F44" i="2"/>
  <c r="F146" i="2" s="1"/>
  <c r="F33" i="2"/>
  <c r="F135" i="2" s="1"/>
  <c r="F22" i="2"/>
  <c r="F124" i="2" s="1"/>
  <c r="G45" i="2"/>
  <c r="G147" i="2" s="1"/>
  <c r="G34" i="2"/>
  <c r="G136" i="2" s="1"/>
  <c r="G24" i="2"/>
  <c r="G126" i="2" s="1"/>
  <c r="G13" i="2"/>
  <c r="G115" i="2" s="1"/>
  <c r="H46" i="2"/>
  <c r="H148" i="2" s="1"/>
  <c r="H36" i="2"/>
  <c r="H138" i="2" s="1"/>
  <c r="H25" i="2"/>
  <c r="H127" i="2" s="1"/>
  <c r="I48" i="2"/>
  <c r="I150" i="2" s="1"/>
  <c r="I37" i="2"/>
  <c r="I139" i="2" s="1"/>
  <c r="I26" i="2"/>
  <c r="I128" i="2" s="1"/>
  <c r="I16" i="2"/>
  <c r="I118" i="2" s="1"/>
  <c r="J49" i="2"/>
  <c r="J151" i="2" s="1"/>
  <c r="J38" i="2"/>
  <c r="J140" i="2" s="1"/>
  <c r="J28" i="2"/>
  <c r="J130" i="2" s="1"/>
  <c r="J13" i="2"/>
  <c r="J115" i="2" s="1"/>
  <c r="K41" i="2"/>
  <c r="K143" i="2" s="1"/>
  <c r="K24" i="2"/>
  <c r="K126" i="2" s="1"/>
  <c r="L12" i="2"/>
  <c r="L114" i="2" s="1"/>
  <c r="O16" i="2"/>
  <c r="O118" i="2" s="1"/>
  <c r="Q23" i="2"/>
  <c r="Q125" i="2" s="1"/>
  <c r="S26" i="2"/>
  <c r="S128" i="2" s="1"/>
  <c r="Y42" i="2"/>
  <c r="Y144" i="2" s="1"/>
  <c r="AE50" i="2"/>
  <c r="AE152" i="2" s="1"/>
  <c r="AJ14" i="2"/>
  <c r="AJ116" i="2" s="1"/>
  <c r="AP22" i="2"/>
  <c r="AP124" i="2" s="1"/>
  <c r="AC11" i="2"/>
  <c r="AC113" i="2" s="1"/>
  <c r="AC19" i="2"/>
  <c r="AC121" i="2" s="1"/>
  <c r="AC27" i="2"/>
  <c r="AC129" i="2" s="1"/>
  <c r="AC35" i="2"/>
  <c r="AC137" i="2" s="1"/>
  <c r="AC43" i="2"/>
  <c r="AC145" i="2" s="1"/>
  <c r="AC12" i="2"/>
  <c r="AC114" i="2" s="1"/>
  <c r="AC20" i="2"/>
  <c r="AC122" i="2" s="1"/>
  <c r="AC28" i="2"/>
  <c r="AC130" i="2" s="1"/>
  <c r="AC36" i="2"/>
  <c r="AC138" i="2" s="1"/>
  <c r="AC44" i="2"/>
  <c r="AC146" i="2" s="1"/>
  <c r="AC13" i="2"/>
  <c r="AC115" i="2" s="1"/>
  <c r="AC21" i="2"/>
  <c r="AC123" i="2" s="1"/>
  <c r="AC29" i="2"/>
  <c r="AC131" i="2" s="1"/>
  <c r="AC37" i="2"/>
  <c r="AC139" i="2" s="1"/>
  <c r="AC45" i="2"/>
  <c r="AC147" i="2" s="1"/>
  <c r="AC14" i="2"/>
  <c r="AC116" i="2" s="1"/>
  <c r="AC22" i="2"/>
  <c r="AC124" i="2" s="1"/>
  <c r="AC30" i="2"/>
  <c r="AC132" i="2" s="1"/>
  <c r="AC38" i="2"/>
  <c r="AC140" i="2" s="1"/>
  <c r="AC46" i="2"/>
  <c r="AC148" i="2" s="1"/>
  <c r="AC8" i="2"/>
  <c r="AC110" i="2" s="1"/>
  <c r="AC16" i="2"/>
  <c r="AC118" i="2" s="1"/>
  <c r="AC24" i="2"/>
  <c r="AC126" i="2" s="1"/>
  <c r="AC32" i="2"/>
  <c r="AC134" i="2" s="1"/>
  <c r="AC40" i="2"/>
  <c r="AC142" i="2" s="1"/>
  <c r="AC48" i="2"/>
  <c r="AC150" i="2" s="1"/>
  <c r="AC9" i="2"/>
  <c r="AC111" i="2" s="1"/>
  <c r="AC17" i="2"/>
  <c r="AC119" i="2" s="1"/>
  <c r="AC25" i="2"/>
  <c r="AC127" i="2" s="1"/>
  <c r="AC33" i="2"/>
  <c r="AC135" i="2" s="1"/>
  <c r="AC41" i="2"/>
  <c r="AC143" i="2" s="1"/>
  <c r="AC49" i="2"/>
  <c r="AC151" i="2" s="1"/>
  <c r="AC31" i="2"/>
  <c r="AC133" i="2" s="1"/>
  <c r="AC34" i="2"/>
  <c r="AC136" i="2" s="1"/>
  <c r="AC7" i="2"/>
  <c r="AC109" i="2" s="1"/>
  <c r="AC39" i="2"/>
  <c r="AC141" i="2" s="1"/>
  <c r="AC10" i="2"/>
  <c r="AC112" i="2" s="1"/>
  <c r="AC42" i="2"/>
  <c r="AC144" i="2" s="1"/>
  <c r="AC15" i="2"/>
  <c r="AC117" i="2" s="1"/>
  <c r="AC47" i="2"/>
  <c r="AC149" i="2" s="1"/>
  <c r="AC18" i="2"/>
  <c r="AC120" i="2" s="1"/>
  <c r="AC50" i="2"/>
  <c r="AC152" i="2" s="1"/>
  <c r="AC23" i="2"/>
  <c r="AC125" i="2" s="1"/>
  <c r="M9" i="2"/>
  <c r="M111" i="2" s="1"/>
  <c r="M17" i="2"/>
  <c r="M119" i="2" s="1"/>
  <c r="M25" i="2"/>
  <c r="M127" i="2" s="1"/>
  <c r="M33" i="2"/>
  <c r="M135" i="2" s="1"/>
  <c r="M41" i="2"/>
  <c r="M143" i="2" s="1"/>
  <c r="M49" i="2"/>
  <c r="M151" i="2" s="1"/>
  <c r="M10" i="2"/>
  <c r="M112" i="2" s="1"/>
  <c r="M18" i="2"/>
  <c r="M120" i="2" s="1"/>
  <c r="M26" i="2"/>
  <c r="M128" i="2" s="1"/>
  <c r="M34" i="2"/>
  <c r="M136" i="2" s="1"/>
  <c r="M42" i="2"/>
  <c r="M144" i="2" s="1"/>
  <c r="M50" i="2"/>
  <c r="M152" i="2" s="1"/>
  <c r="M11" i="2"/>
  <c r="M113" i="2" s="1"/>
  <c r="M19" i="2"/>
  <c r="M121" i="2" s="1"/>
  <c r="M27" i="2"/>
  <c r="M129" i="2" s="1"/>
  <c r="M35" i="2"/>
  <c r="M137" i="2" s="1"/>
  <c r="M43" i="2"/>
  <c r="M145" i="2" s="1"/>
  <c r="M12" i="2"/>
  <c r="M114" i="2" s="1"/>
  <c r="M20" i="2"/>
  <c r="M122" i="2" s="1"/>
  <c r="M28" i="2"/>
  <c r="M130" i="2" s="1"/>
  <c r="M36" i="2"/>
  <c r="M138" i="2" s="1"/>
  <c r="M44" i="2"/>
  <c r="M146" i="2" s="1"/>
  <c r="M13" i="2"/>
  <c r="M115" i="2" s="1"/>
  <c r="M21" i="2"/>
  <c r="M123" i="2" s="1"/>
  <c r="M29" i="2"/>
  <c r="M131" i="2" s="1"/>
  <c r="M37" i="2"/>
  <c r="M139" i="2" s="1"/>
  <c r="M45" i="2"/>
  <c r="M147" i="2" s="1"/>
  <c r="M14" i="2"/>
  <c r="M116" i="2" s="1"/>
  <c r="M22" i="2"/>
  <c r="M124" i="2" s="1"/>
  <c r="M30" i="2"/>
  <c r="M132" i="2" s="1"/>
  <c r="M38" i="2"/>
  <c r="M140" i="2" s="1"/>
  <c r="M46" i="2"/>
  <c r="M148" i="2" s="1"/>
  <c r="M7" i="2"/>
  <c r="M109" i="2" s="1"/>
  <c r="M15" i="2"/>
  <c r="M117" i="2" s="1"/>
  <c r="M23" i="2"/>
  <c r="M125" i="2" s="1"/>
  <c r="M31" i="2"/>
  <c r="M133" i="2" s="1"/>
  <c r="M39" i="2"/>
  <c r="M141" i="2" s="1"/>
  <c r="M47" i="2"/>
  <c r="M149" i="2" s="1"/>
  <c r="T8" i="2"/>
  <c r="T110" i="2" s="1"/>
  <c r="T16" i="2"/>
  <c r="T118" i="2" s="1"/>
  <c r="T24" i="2"/>
  <c r="T126" i="2" s="1"/>
  <c r="T32" i="2"/>
  <c r="T134" i="2" s="1"/>
  <c r="T40" i="2"/>
  <c r="T142" i="2" s="1"/>
  <c r="T9" i="2"/>
  <c r="T111" i="2" s="1"/>
  <c r="T17" i="2"/>
  <c r="T119" i="2" s="1"/>
  <c r="T25" i="2"/>
  <c r="T127" i="2" s="1"/>
  <c r="T33" i="2"/>
  <c r="T135" i="2" s="1"/>
  <c r="T41" i="2"/>
  <c r="T143" i="2" s="1"/>
  <c r="T49" i="2"/>
  <c r="T151" i="2" s="1"/>
  <c r="T10" i="2"/>
  <c r="T112" i="2" s="1"/>
  <c r="T18" i="2"/>
  <c r="T120" i="2" s="1"/>
  <c r="T26" i="2"/>
  <c r="T128" i="2" s="1"/>
  <c r="T34" i="2"/>
  <c r="T136" i="2" s="1"/>
  <c r="T12" i="2"/>
  <c r="T114" i="2" s="1"/>
  <c r="T20" i="2"/>
  <c r="T122" i="2" s="1"/>
  <c r="T28" i="2"/>
  <c r="T130" i="2" s="1"/>
  <c r="T36" i="2"/>
  <c r="T138" i="2" s="1"/>
  <c r="T44" i="2"/>
  <c r="T146" i="2" s="1"/>
  <c r="T22" i="2"/>
  <c r="T124" i="2" s="1"/>
  <c r="T38" i="2"/>
  <c r="T140" i="2" s="1"/>
  <c r="T50" i="2"/>
  <c r="T152" i="2" s="1"/>
  <c r="T7" i="2"/>
  <c r="T109" i="2" s="1"/>
  <c r="T23" i="2"/>
  <c r="T125" i="2" s="1"/>
  <c r="T39" i="2"/>
  <c r="T141" i="2" s="1"/>
  <c r="T11" i="2"/>
  <c r="T113" i="2" s="1"/>
  <c r="T27" i="2"/>
  <c r="T129" i="2" s="1"/>
  <c r="T42" i="2"/>
  <c r="T144" i="2" s="1"/>
  <c r="T13" i="2"/>
  <c r="T115" i="2" s="1"/>
  <c r="T29" i="2"/>
  <c r="T131" i="2" s="1"/>
  <c r="T43" i="2"/>
  <c r="T145" i="2" s="1"/>
  <c r="T14" i="2"/>
  <c r="T116" i="2" s="1"/>
  <c r="T30" i="2"/>
  <c r="T132" i="2" s="1"/>
  <c r="T45" i="2"/>
  <c r="T147" i="2" s="1"/>
  <c r="T15" i="2"/>
  <c r="T117" i="2" s="1"/>
  <c r="T31" i="2"/>
  <c r="T133" i="2" s="1"/>
  <c r="T46" i="2"/>
  <c r="T148" i="2" s="1"/>
  <c r="T19" i="2"/>
  <c r="T121" i="2" s="1"/>
  <c r="T35" i="2"/>
  <c r="T137" i="2" s="1"/>
  <c r="T47" i="2"/>
  <c r="T149" i="2" s="1"/>
  <c r="AF7" i="2"/>
  <c r="AF109" i="2" s="1"/>
  <c r="AF15" i="2"/>
  <c r="AF117" i="2" s="1"/>
  <c r="AF23" i="2"/>
  <c r="AF125" i="2" s="1"/>
  <c r="AF31" i="2"/>
  <c r="AF133" i="2" s="1"/>
  <c r="AF39" i="2"/>
  <c r="AF141" i="2" s="1"/>
  <c r="AF47" i="2"/>
  <c r="AF149" i="2" s="1"/>
  <c r="AF8" i="2"/>
  <c r="AF110" i="2" s="1"/>
  <c r="AF16" i="2"/>
  <c r="AF118" i="2" s="1"/>
  <c r="AF24" i="2"/>
  <c r="AF126" i="2" s="1"/>
  <c r="AF32" i="2"/>
  <c r="AF134" i="2" s="1"/>
  <c r="AF40" i="2"/>
  <c r="AF142" i="2" s="1"/>
  <c r="AF48" i="2"/>
  <c r="AF150" i="2" s="1"/>
  <c r="AF9" i="2"/>
  <c r="AF111" i="2" s="1"/>
  <c r="AF17" i="2"/>
  <c r="AF119" i="2" s="1"/>
  <c r="AF25" i="2"/>
  <c r="AF127" i="2" s="1"/>
  <c r="AF33" i="2"/>
  <c r="AF135" i="2" s="1"/>
  <c r="AF41" i="2"/>
  <c r="AF143" i="2" s="1"/>
  <c r="AF49" i="2"/>
  <c r="AF151" i="2" s="1"/>
  <c r="AF10" i="2"/>
  <c r="AF112" i="2" s="1"/>
  <c r="AF18" i="2"/>
  <c r="AF120" i="2" s="1"/>
  <c r="AF26" i="2"/>
  <c r="AF128" i="2" s="1"/>
  <c r="AF34" i="2"/>
  <c r="AF136" i="2" s="1"/>
  <c r="AF42" i="2"/>
  <c r="AF144" i="2" s="1"/>
  <c r="AF50" i="2"/>
  <c r="AF152" i="2" s="1"/>
  <c r="AF12" i="2"/>
  <c r="AF114" i="2" s="1"/>
  <c r="AF20" i="2"/>
  <c r="AF122" i="2" s="1"/>
  <c r="AF28" i="2"/>
  <c r="AF130" i="2" s="1"/>
  <c r="AF36" i="2"/>
  <c r="AF138" i="2" s="1"/>
  <c r="AF44" i="2"/>
  <c r="AF146" i="2" s="1"/>
  <c r="AF13" i="2"/>
  <c r="AF115" i="2" s="1"/>
  <c r="AF21" i="2"/>
  <c r="AF123" i="2" s="1"/>
  <c r="AF29" i="2"/>
  <c r="AF131" i="2" s="1"/>
  <c r="AF37" i="2"/>
  <c r="AF139" i="2" s="1"/>
  <c r="AF45" i="2"/>
  <c r="AF147" i="2" s="1"/>
  <c r="AF35" i="2"/>
  <c r="AF137" i="2" s="1"/>
  <c r="AF38" i="2"/>
  <c r="AF140" i="2" s="1"/>
  <c r="AF11" i="2"/>
  <c r="AF113" i="2" s="1"/>
  <c r="AF43" i="2"/>
  <c r="AF145" i="2" s="1"/>
  <c r="AF14" i="2"/>
  <c r="AF116" i="2" s="1"/>
  <c r="AF46" i="2"/>
  <c r="AF148" i="2" s="1"/>
  <c r="AF19" i="2"/>
  <c r="AF121" i="2" s="1"/>
  <c r="AF22" i="2"/>
  <c r="AF124" i="2" s="1"/>
  <c r="AF27" i="2"/>
  <c r="AF129" i="2" s="1"/>
  <c r="H7" i="2"/>
  <c r="H109" i="2" s="1"/>
  <c r="H15" i="2"/>
  <c r="H117" i="2" s="1"/>
  <c r="H23" i="2"/>
  <c r="H125" i="2" s="1"/>
  <c r="H31" i="2"/>
  <c r="H133" i="2" s="1"/>
  <c r="H39" i="2"/>
  <c r="H141" i="2" s="1"/>
  <c r="H47" i="2"/>
  <c r="H149" i="2" s="1"/>
  <c r="H10" i="2"/>
  <c r="H112" i="2" s="1"/>
  <c r="H18" i="2"/>
  <c r="H120" i="2" s="1"/>
  <c r="H26" i="2"/>
  <c r="H128" i="2" s="1"/>
  <c r="H34" i="2"/>
  <c r="H136" i="2" s="1"/>
  <c r="H42" i="2"/>
  <c r="H144" i="2" s="1"/>
  <c r="H50" i="2"/>
  <c r="H152" i="2" s="1"/>
  <c r="AT7" i="2"/>
  <c r="AT109" i="2" s="1"/>
  <c r="AT15" i="2"/>
  <c r="AT117" i="2" s="1"/>
  <c r="AT23" i="2"/>
  <c r="AT125" i="2" s="1"/>
  <c r="AT31" i="2"/>
  <c r="AT133" i="2" s="1"/>
  <c r="AT39" i="2"/>
  <c r="AT141" i="2" s="1"/>
  <c r="AT47" i="2"/>
  <c r="AT149" i="2" s="1"/>
  <c r="AT8" i="2"/>
  <c r="AT110" i="2" s="1"/>
  <c r="AT16" i="2"/>
  <c r="AT118" i="2" s="1"/>
  <c r="AT24" i="2"/>
  <c r="AT126" i="2" s="1"/>
  <c r="AT32" i="2"/>
  <c r="AT134" i="2" s="1"/>
  <c r="AT40" i="2"/>
  <c r="AT142" i="2" s="1"/>
  <c r="AT48" i="2"/>
  <c r="AT150" i="2" s="1"/>
  <c r="AT9" i="2"/>
  <c r="AT111" i="2" s="1"/>
  <c r="AT17" i="2"/>
  <c r="AT119" i="2" s="1"/>
  <c r="AT25" i="2"/>
  <c r="AT127" i="2" s="1"/>
  <c r="AT33" i="2"/>
  <c r="AT135" i="2" s="1"/>
  <c r="AT41" i="2"/>
  <c r="AT143" i="2" s="1"/>
  <c r="AT49" i="2"/>
  <c r="AT151" i="2" s="1"/>
  <c r="AT10" i="2"/>
  <c r="AT112" i="2" s="1"/>
  <c r="AT18" i="2"/>
  <c r="AT120" i="2" s="1"/>
  <c r="AT26" i="2"/>
  <c r="AT128" i="2" s="1"/>
  <c r="AT34" i="2"/>
  <c r="AT136" i="2" s="1"/>
  <c r="AT42" i="2"/>
  <c r="AT144" i="2" s="1"/>
  <c r="AT50" i="2"/>
  <c r="AT152" i="2" s="1"/>
  <c r="AT12" i="2"/>
  <c r="AT114" i="2" s="1"/>
  <c r="AT20" i="2"/>
  <c r="AT122" i="2" s="1"/>
  <c r="AT28" i="2"/>
  <c r="AT130" i="2" s="1"/>
  <c r="AT36" i="2"/>
  <c r="AT138" i="2" s="1"/>
  <c r="AT44" i="2"/>
  <c r="AT146" i="2" s="1"/>
  <c r="AT13" i="2"/>
  <c r="AT115" i="2" s="1"/>
  <c r="AT21" i="2"/>
  <c r="AT123" i="2" s="1"/>
  <c r="AT29" i="2"/>
  <c r="AT131" i="2" s="1"/>
  <c r="AT37" i="2"/>
  <c r="AT139" i="2" s="1"/>
  <c r="AT45" i="2"/>
  <c r="AT147" i="2" s="1"/>
  <c r="AT11" i="2"/>
  <c r="AT113" i="2" s="1"/>
  <c r="AT43" i="2"/>
  <c r="AT145" i="2" s="1"/>
  <c r="AT14" i="2"/>
  <c r="AT116" i="2" s="1"/>
  <c r="AT46" i="2"/>
  <c r="AT148" i="2" s="1"/>
  <c r="AT19" i="2"/>
  <c r="AT121" i="2" s="1"/>
  <c r="AT22" i="2"/>
  <c r="AT124" i="2" s="1"/>
  <c r="AT27" i="2"/>
  <c r="AT129" i="2" s="1"/>
  <c r="AT30" i="2"/>
  <c r="AT132" i="2" s="1"/>
  <c r="AT35" i="2"/>
  <c r="AT137" i="2" s="1"/>
  <c r="AL7" i="2"/>
  <c r="AL109" i="2" s="1"/>
  <c r="AL15" i="2"/>
  <c r="AL117" i="2" s="1"/>
  <c r="AL23" i="2"/>
  <c r="AL125" i="2" s="1"/>
  <c r="AL31" i="2"/>
  <c r="AL133" i="2" s="1"/>
  <c r="AL39" i="2"/>
  <c r="AL141" i="2" s="1"/>
  <c r="AL47" i="2"/>
  <c r="AL149" i="2" s="1"/>
  <c r="AL8" i="2"/>
  <c r="AL110" i="2" s="1"/>
  <c r="AL16" i="2"/>
  <c r="AL118" i="2" s="1"/>
  <c r="AL24" i="2"/>
  <c r="AL126" i="2" s="1"/>
  <c r="AL32" i="2"/>
  <c r="AL134" i="2" s="1"/>
  <c r="AL40" i="2"/>
  <c r="AL142" i="2" s="1"/>
  <c r="AL48" i="2"/>
  <c r="AL150" i="2" s="1"/>
  <c r="AL9" i="2"/>
  <c r="AL111" i="2" s="1"/>
  <c r="AL17" i="2"/>
  <c r="AL119" i="2" s="1"/>
  <c r="AL25" i="2"/>
  <c r="AL127" i="2" s="1"/>
  <c r="AL33" i="2"/>
  <c r="AL135" i="2" s="1"/>
  <c r="AL41" i="2"/>
  <c r="AL143" i="2" s="1"/>
  <c r="AL49" i="2"/>
  <c r="AL151" i="2" s="1"/>
  <c r="AL10" i="2"/>
  <c r="AL112" i="2" s="1"/>
  <c r="AL18" i="2"/>
  <c r="AL120" i="2" s="1"/>
  <c r="AL26" i="2"/>
  <c r="AL128" i="2" s="1"/>
  <c r="AL34" i="2"/>
  <c r="AL136" i="2" s="1"/>
  <c r="AL42" i="2"/>
  <c r="AL144" i="2" s="1"/>
  <c r="AL50" i="2"/>
  <c r="AL152" i="2" s="1"/>
  <c r="AL12" i="2"/>
  <c r="AL114" i="2" s="1"/>
  <c r="AL20" i="2"/>
  <c r="AL122" i="2" s="1"/>
  <c r="AL28" i="2"/>
  <c r="AL130" i="2" s="1"/>
  <c r="AL36" i="2"/>
  <c r="AL138" i="2" s="1"/>
  <c r="AL44" i="2"/>
  <c r="AL146" i="2" s="1"/>
  <c r="AL13" i="2"/>
  <c r="AL115" i="2" s="1"/>
  <c r="AL21" i="2"/>
  <c r="AL123" i="2" s="1"/>
  <c r="AL29" i="2"/>
  <c r="AL131" i="2" s="1"/>
  <c r="AL37" i="2"/>
  <c r="AL139" i="2" s="1"/>
  <c r="AL45" i="2"/>
  <c r="AL147" i="2" s="1"/>
  <c r="AL11" i="2"/>
  <c r="AL113" i="2" s="1"/>
  <c r="AL43" i="2"/>
  <c r="AL145" i="2" s="1"/>
  <c r="AL14" i="2"/>
  <c r="AL116" i="2" s="1"/>
  <c r="AL46" i="2"/>
  <c r="AL148" i="2" s="1"/>
  <c r="AL19" i="2"/>
  <c r="AL121" i="2" s="1"/>
  <c r="AL22" i="2"/>
  <c r="AL124" i="2" s="1"/>
  <c r="AL27" i="2"/>
  <c r="AL129" i="2" s="1"/>
  <c r="AL30" i="2"/>
  <c r="AL132" i="2" s="1"/>
  <c r="AL35" i="2"/>
  <c r="AL137" i="2" s="1"/>
  <c r="AD7" i="2"/>
  <c r="AD109" i="2" s="1"/>
  <c r="AD15" i="2"/>
  <c r="AD117" i="2" s="1"/>
  <c r="AD23" i="2"/>
  <c r="AD125" i="2" s="1"/>
  <c r="AD31" i="2"/>
  <c r="AD133" i="2" s="1"/>
  <c r="AD39" i="2"/>
  <c r="AD141" i="2" s="1"/>
  <c r="AD47" i="2"/>
  <c r="AD149" i="2" s="1"/>
  <c r="AD8" i="2"/>
  <c r="AD110" i="2" s="1"/>
  <c r="AD16" i="2"/>
  <c r="AD118" i="2" s="1"/>
  <c r="AD24" i="2"/>
  <c r="AD126" i="2" s="1"/>
  <c r="AD32" i="2"/>
  <c r="AD134" i="2" s="1"/>
  <c r="AD40" i="2"/>
  <c r="AD142" i="2" s="1"/>
  <c r="AD48" i="2"/>
  <c r="AD150" i="2" s="1"/>
  <c r="AD9" i="2"/>
  <c r="AD111" i="2" s="1"/>
  <c r="AD17" i="2"/>
  <c r="AD119" i="2" s="1"/>
  <c r="AD25" i="2"/>
  <c r="AD127" i="2" s="1"/>
  <c r="AD33" i="2"/>
  <c r="AD135" i="2" s="1"/>
  <c r="AD41" i="2"/>
  <c r="AD143" i="2" s="1"/>
  <c r="AD49" i="2"/>
  <c r="AD151" i="2" s="1"/>
  <c r="AD10" i="2"/>
  <c r="AD112" i="2" s="1"/>
  <c r="AD18" i="2"/>
  <c r="AD120" i="2" s="1"/>
  <c r="AD26" i="2"/>
  <c r="AD128" i="2" s="1"/>
  <c r="AD34" i="2"/>
  <c r="AD136" i="2" s="1"/>
  <c r="AD42" i="2"/>
  <c r="AD144" i="2" s="1"/>
  <c r="AD50" i="2"/>
  <c r="AD152" i="2" s="1"/>
  <c r="AD12" i="2"/>
  <c r="AD114" i="2" s="1"/>
  <c r="AD20" i="2"/>
  <c r="AD122" i="2" s="1"/>
  <c r="AD28" i="2"/>
  <c r="AD130" i="2" s="1"/>
  <c r="AD36" i="2"/>
  <c r="AD138" i="2" s="1"/>
  <c r="AD44" i="2"/>
  <c r="AD146" i="2" s="1"/>
  <c r="AD13" i="2"/>
  <c r="AD115" i="2" s="1"/>
  <c r="AD21" i="2"/>
  <c r="AD123" i="2" s="1"/>
  <c r="AD29" i="2"/>
  <c r="AD131" i="2" s="1"/>
  <c r="AD37" i="2"/>
  <c r="AD139" i="2" s="1"/>
  <c r="AD45" i="2"/>
  <c r="AD147" i="2" s="1"/>
  <c r="AD11" i="2"/>
  <c r="AD113" i="2" s="1"/>
  <c r="AD43" i="2"/>
  <c r="AD145" i="2" s="1"/>
  <c r="AD14" i="2"/>
  <c r="AD116" i="2" s="1"/>
  <c r="AD46" i="2"/>
  <c r="AD148" i="2" s="1"/>
  <c r="AD19" i="2"/>
  <c r="AD121" i="2" s="1"/>
  <c r="AD22" i="2"/>
  <c r="AD124" i="2" s="1"/>
  <c r="AD27" i="2"/>
  <c r="AD129" i="2" s="1"/>
  <c r="AD30" i="2"/>
  <c r="AD132" i="2" s="1"/>
  <c r="AD35" i="2"/>
  <c r="AD137" i="2" s="1"/>
  <c r="V8" i="2"/>
  <c r="V110" i="2" s="1"/>
  <c r="V16" i="2"/>
  <c r="V118" i="2" s="1"/>
  <c r="V24" i="2"/>
  <c r="V126" i="2" s="1"/>
  <c r="V32" i="2"/>
  <c r="V134" i="2" s="1"/>
  <c r="V40" i="2"/>
  <c r="V142" i="2" s="1"/>
  <c r="V48" i="2"/>
  <c r="V150" i="2" s="1"/>
  <c r="V9" i="2"/>
  <c r="V111" i="2" s="1"/>
  <c r="V17" i="2"/>
  <c r="V119" i="2" s="1"/>
  <c r="V25" i="2"/>
  <c r="V127" i="2" s="1"/>
  <c r="V33" i="2"/>
  <c r="V135" i="2" s="1"/>
  <c r="V41" i="2"/>
  <c r="V143" i="2" s="1"/>
  <c r="V49" i="2"/>
  <c r="V151" i="2" s="1"/>
  <c r="V10" i="2"/>
  <c r="V112" i="2" s="1"/>
  <c r="V18" i="2"/>
  <c r="V120" i="2" s="1"/>
  <c r="V26" i="2"/>
  <c r="V128" i="2" s="1"/>
  <c r="V34" i="2"/>
  <c r="V136" i="2" s="1"/>
  <c r="V42" i="2"/>
  <c r="V144" i="2" s="1"/>
  <c r="V50" i="2"/>
  <c r="V152" i="2" s="1"/>
  <c r="V12" i="2"/>
  <c r="V114" i="2" s="1"/>
  <c r="V20" i="2"/>
  <c r="V122" i="2" s="1"/>
  <c r="V28" i="2"/>
  <c r="V130" i="2" s="1"/>
  <c r="V36" i="2"/>
  <c r="V138" i="2" s="1"/>
  <c r="V44" i="2"/>
  <c r="V146" i="2" s="1"/>
  <c r="V14" i="2"/>
  <c r="V116" i="2" s="1"/>
  <c r="V30" i="2"/>
  <c r="V132" i="2" s="1"/>
  <c r="V46" i="2"/>
  <c r="V148" i="2" s="1"/>
  <c r="V15" i="2"/>
  <c r="V117" i="2" s="1"/>
  <c r="V31" i="2"/>
  <c r="V133" i="2" s="1"/>
  <c r="V47" i="2"/>
  <c r="V149" i="2" s="1"/>
  <c r="V19" i="2"/>
  <c r="V121" i="2" s="1"/>
  <c r="V35" i="2"/>
  <c r="V137" i="2" s="1"/>
  <c r="V21" i="2"/>
  <c r="V123" i="2" s="1"/>
  <c r="V37" i="2"/>
  <c r="V139" i="2" s="1"/>
  <c r="V22" i="2"/>
  <c r="V124" i="2" s="1"/>
  <c r="V38" i="2"/>
  <c r="V140" i="2" s="1"/>
  <c r="V7" i="2"/>
  <c r="V109" i="2" s="1"/>
  <c r="V23" i="2"/>
  <c r="V125" i="2" s="1"/>
  <c r="V39" i="2"/>
  <c r="V141" i="2" s="1"/>
  <c r="V11" i="2"/>
  <c r="V113" i="2" s="1"/>
  <c r="V27" i="2"/>
  <c r="V129" i="2" s="1"/>
  <c r="V43" i="2"/>
  <c r="V145" i="2" s="1"/>
  <c r="N13" i="2"/>
  <c r="N115" i="2" s="1"/>
  <c r="N21" i="2"/>
  <c r="N123" i="2" s="1"/>
  <c r="N29" i="2"/>
  <c r="N131" i="2" s="1"/>
  <c r="N37" i="2"/>
  <c r="N139" i="2" s="1"/>
  <c r="N45" i="2"/>
  <c r="N147" i="2" s="1"/>
  <c r="N14" i="2"/>
  <c r="N116" i="2" s="1"/>
  <c r="N22" i="2"/>
  <c r="N124" i="2" s="1"/>
  <c r="N30" i="2"/>
  <c r="N132" i="2" s="1"/>
  <c r="N38" i="2"/>
  <c r="N140" i="2" s="1"/>
  <c r="N46" i="2"/>
  <c r="N148" i="2" s="1"/>
  <c r="N7" i="2"/>
  <c r="N109" i="2" s="1"/>
  <c r="N15" i="2"/>
  <c r="N117" i="2" s="1"/>
  <c r="N23" i="2"/>
  <c r="N125" i="2" s="1"/>
  <c r="N31" i="2"/>
  <c r="N133" i="2" s="1"/>
  <c r="N39" i="2"/>
  <c r="N141" i="2" s="1"/>
  <c r="N47" i="2"/>
  <c r="N149" i="2" s="1"/>
  <c r="N8" i="2"/>
  <c r="N110" i="2" s="1"/>
  <c r="N16" i="2"/>
  <c r="N118" i="2" s="1"/>
  <c r="N24" i="2"/>
  <c r="N126" i="2" s="1"/>
  <c r="N32" i="2"/>
  <c r="N134" i="2" s="1"/>
  <c r="N40" i="2"/>
  <c r="N142" i="2" s="1"/>
  <c r="N48" i="2"/>
  <c r="N150" i="2" s="1"/>
  <c r="N9" i="2"/>
  <c r="N111" i="2" s="1"/>
  <c r="N17" i="2"/>
  <c r="N119" i="2" s="1"/>
  <c r="N25" i="2"/>
  <c r="N127" i="2" s="1"/>
  <c r="N33" i="2"/>
  <c r="N135" i="2" s="1"/>
  <c r="N41" i="2"/>
  <c r="N143" i="2" s="1"/>
  <c r="N49" i="2"/>
  <c r="N151" i="2" s="1"/>
  <c r="N10" i="2"/>
  <c r="N112" i="2" s="1"/>
  <c r="N18" i="2"/>
  <c r="N120" i="2" s="1"/>
  <c r="N26" i="2"/>
  <c r="N128" i="2" s="1"/>
  <c r="N34" i="2"/>
  <c r="N136" i="2" s="1"/>
  <c r="N144" i="2"/>
  <c r="N50" i="2"/>
  <c r="N152" i="2" s="1"/>
  <c r="N11" i="2"/>
  <c r="N113" i="2" s="1"/>
  <c r="N19" i="2"/>
  <c r="N121" i="2" s="1"/>
  <c r="N27" i="2"/>
  <c r="N129" i="2" s="1"/>
  <c r="N35" i="2"/>
  <c r="N137" i="2" s="1"/>
  <c r="N43" i="2"/>
  <c r="N145" i="2" s="1"/>
  <c r="BE53" i="1"/>
  <c r="F7" i="2"/>
  <c r="F109" i="2" s="1"/>
  <c r="F15" i="2"/>
  <c r="F117" i="2" s="1"/>
  <c r="F23" i="2"/>
  <c r="F125" i="2" s="1"/>
  <c r="F31" i="2"/>
  <c r="F133" i="2" s="1"/>
  <c r="F39" i="2"/>
  <c r="F141" i="2" s="1"/>
  <c r="F47" i="2"/>
  <c r="F149" i="2" s="1"/>
  <c r="F10" i="2"/>
  <c r="F112" i="2" s="1"/>
  <c r="F18" i="2"/>
  <c r="F120" i="2" s="1"/>
  <c r="F26" i="2"/>
  <c r="F128" i="2" s="1"/>
  <c r="F34" i="2"/>
  <c r="F136" i="2" s="1"/>
  <c r="F42" i="2"/>
  <c r="F144" i="2" s="1"/>
  <c r="F50" i="2"/>
  <c r="F152" i="2" s="1"/>
  <c r="B48" i="2"/>
  <c r="B150" i="2" s="1"/>
  <c r="B40" i="2"/>
  <c r="B142" i="2" s="1"/>
  <c r="B32" i="2"/>
  <c r="B134" i="2" s="1"/>
  <c r="B24" i="2"/>
  <c r="B126" i="2" s="1"/>
  <c r="B16" i="2"/>
  <c r="B118" i="2" s="1"/>
  <c r="B8" i="2"/>
  <c r="B110" i="2" s="1"/>
  <c r="C45" i="2"/>
  <c r="C147" i="2" s="1"/>
  <c r="C37" i="2"/>
  <c r="C139" i="2" s="1"/>
  <c r="C29" i="2"/>
  <c r="C131" i="2" s="1"/>
  <c r="C21" i="2"/>
  <c r="C123" i="2" s="1"/>
  <c r="C13" i="2"/>
  <c r="C115" i="2" s="1"/>
  <c r="D6" i="2"/>
  <c r="D108" i="2" s="1"/>
  <c r="L6" i="2"/>
  <c r="L108" i="2" s="1"/>
  <c r="T6" i="2"/>
  <c r="T108" i="2" s="1"/>
  <c r="AR6" i="2"/>
  <c r="AR108" i="2" s="1"/>
  <c r="D45" i="2"/>
  <c r="D147" i="2" s="1"/>
  <c r="D37" i="2"/>
  <c r="D139" i="2" s="1"/>
  <c r="D29" i="2"/>
  <c r="D131" i="2" s="1"/>
  <c r="D21" i="2"/>
  <c r="D123" i="2" s="1"/>
  <c r="D13" i="2"/>
  <c r="D115" i="2" s="1"/>
  <c r="E49" i="2"/>
  <c r="E151" i="2" s="1"/>
  <c r="E41" i="2"/>
  <c r="E143" i="2" s="1"/>
  <c r="E33" i="2"/>
  <c r="E135" i="2" s="1"/>
  <c r="E25" i="2"/>
  <c r="E127" i="2" s="1"/>
  <c r="E17" i="2"/>
  <c r="E119" i="2" s="1"/>
  <c r="E9" i="2"/>
  <c r="E111" i="2" s="1"/>
  <c r="F43" i="2"/>
  <c r="F145" i="2" s="1"/>
  <c r="F32" i="2"/>
  <c r="F134" i="2" s="1"/>
  <c r="F21" i="2"/>
  <c r="F123" i="2" s="1"/>
  <c r="F11" i="2"/>
  <c r="F113" i="2" s="1"/>
  <c r="G44" i="2"/>
  <c r="G146" i="2" s="1"/>
  <c r="G33" i="2"/>
  <c r="G135" i="2" s="1"/>
  <c r="G23" i="2"/>
  <c r="G125" i="2" s="1"/>
  <c r="G12" i="2"/>
  <c r="G114" i="2" s="1"/>
  <c r="H45" i="2"/>
  <c r="H147" i="2" s="1"/>
  <c r="H35" i="2"/>
  <c r="H137" i="2" s="1"/>
  <c r="H24" i="2"/>
  <c r="H126" i="2" s="1"/>
  <c r="H13" i="2"/>
  <c r="H115" i="2" s="1"/>
  <c r="I47" i="2"/>
  <c r="I149" i="2" s="1"/>
  <c r="I36" i="2"/>
  <c r="I138" i="2" s="1"/>
  <c r="I25" i="2"/>
  <c r="I127" i="2" s="1"/>
  <c r="I15" i="2"/>
  <c r="I117" i="2" s="1"/>
  <c r="J48" i="2"/>
  <c r="J150" i="2" s="1"/>
  <c r="J37" i="2"/>
  <c r="J139" i="2" s="1"/>
  <c r="J27" i="2"/>
  <c r="J129" i="2" s="1"/>
  <c r="J12" i="2"/>
  <c r="J114" i="2" s="1"/>
  <c r="K40" i="2"/>
  <c r="K142" i="2" s="1"/>
  <c r="K17" i="2"/>
  <c r="K119" i="2" s="1"/>
  <c r="M48" i="2"/>
  <c r="M150" i="2" s="1"/>
  <c r="N28" i="2"/>
  <c r="N130" i="2" s="1"/>
  <c r="O8" i="2"/>
  <c r="O110" i="2" s="1"/>
  <c r="Q12" i="2"/>
  <c r="Q114" i="2" s="1"/>
  <c r="V29" i="2"/>
  <c r="V131" i="2" s="1"/>
  <c r="Y10" i="2"/>
  <c r="Y112" i="2" s="1"/>
  <c r="AE18" i="2"/>
  <c r="AE120" i="2" s="1"/>
  <c r="AK26" i="2"/>
  <c r="AK128" i="2" s="1"/>
  <c r="B47" i="2"/>
  <c r="B149" i="2" s="1"/>
  <c r="B39" i="2"/>
  <c r="B141" i="2" s="1"/>
  <c r="B31" i="2"/>
  <c r="B133" i="2" s="1"/>
  <c r="B23" i="2"/>
  <c r="B125" i="2" s="1"/>
  <c r="B15" i="2"/>
  <c r="B117" i="2" s="1"/>
  <c r="B7" i="2"/>
  <c r="B109" i="2" s="1"/>
  <c r="C44" i="2"/>
  <c r="C146" i="2" s="1"/>
  <c r="C36" i="2"/>
  <c r="C138" i="2" s="1"/>
  <c r="C28" i="2"/>
  <c r="C130" i="2" s="1"/>
  <c r="C20" i="2"/>
  <c r="C122" i="2" s="1"/>
  <c r="C12" i="2"/>
  <c r="C114" i="2" s="1"/>
  <c r="E6" i="2"/>
  <c r="E108" i="2" s="1"/>
  <c r="M6" i="2"/>
  <c r="M108" i="2" s="1"/>
  <c r="AC6" i="2"/>
  <c r="AC108" i="2" s="1"/>
  <c r="AK6" i="2"/>
  <c r="AK108" i="2" s="1"/>
  <c r="D44" i="2"/>
  <c r="D146" i="2" s="1"/>
  <c r="D36" i="2"/>
  <c r="D138" i="2" s="1"/>
  <c r="D28" i="2"/>
  <c r="D130" i="2" s="1"/>
  <c r="D20" i="2"/>
  <c r="D122" i="2" s="1"/>
  <c r="D12" i="2"/>
  <c r="D114" i="2" s="1"/>
  <c r="E48" i="2"/>
  <c r="E150" i="2" s="1"/>
  <c r="E40" i="2"/>
  <c r="E142" i="2" s="1"/>
  <c r="E32" i="2"/>
  <c r="E134" i="2" s="1"/>
  <c r="E24" i="2"/>
  <c r="E126" i="2" s="1"/>
  <c r="E16" i="2"/>
  <c r="E118" i="2" s="1"/>
  <c r="E8" i="2"/>
  <c r="E110" i="2" s="1"/>
  <c r="F41" i="2"/>
  <c r="F143" i="2" s="1"/>
  <c r="F30" i="2"/>
  <c r="F132" i="2" s="1"/>
  <c r="F20" i="2"/>
  <c r="F122" i="2" s="1"/>
  <c r="F9" i="2"/>
  <c r="F111" i="2" s="1"/>
  <c r="G42" i="2"/>
  <c r="G144" i="2" s="1"/>
  <c r="G32" i="2"/>
  <c r="G134" i="2" s="1"/>
  <c r="G21" i="2"/>
  <c r="G123" i="2" s="1"/>
  <c r="G10" i="2"/>
  <c r="G112" i="2" s="1"/>
  <c r="H44" i="2"/>
  <c r="H146" i="2" s="1"/>
  <c r="H33" i="2"/>
  <c r="H135" i="2" s="1"/>
  <c r="H22" i="2"/>
  <c r="H124" i="2" s="1"/>
  <c r="H12" i="2"/>
  <c r="H114" i="2" s="1"/>
  <c r="I45" i="2"/>
  <c r="I147" i="2" s="1"/>
  <c r="I34" i="2"/>
  <c r="I136" i="2" s="1"/>
  <c r="I24" i="2"/>
  <c r="I126" i="2" s="1"/>
  <c r="I13" i="2"/>
  <c r="I115" i="2" s="1"/>
  <c r="J46" i="2"/>
  <c r="J148" i="2" s="1"/>
  <c r="J36" i="2"/>
  <c r="J138" i="2" s="1"/>
  <c r="J25" i="2"/>
  <c r="J127" i="2" s="1"/>
  <c r="J9" i="2"/>
  <c r="J111" i="2" s="1"/>
  <c r="K37" i="2"/>
  <c r="K139" i="2" s="1"/>
  <c r="K16" i="2"/>
  <c r="K118" i="2" s="1"/>
  <c r="M40" i="2"/>
  <c r="M142" i="2" s="1"/>
  <c r="N20" i="2"/>
  <c r="N122" i="2" s="1"/>
  <c r="P43" i="2"/>
  <c r="P145" i="2" s="1"/>
  <c r="R46" i="2"/>
  <c r="R148" i="2" s="1"/>
  <c r="T48" i="2"/>
  <c r="T150" i="2" s="1"/>
  <c r="V13" i="2"/>
  <c r="V115" i="2" s="1"/>
  <c r="Z22" i="2"/>
  <c r="Z124" i="2" s="1"/>
  <c r="AF30" i="2"/>
  <c r="AF132" i="2" s="1"/>
  <c r="AL38" i="2"/>
  <c r="AL140" i="2" s="1"/>
  <c r="AR46" i="2"/>
  <c r="AR148" i="2" s="1"/>
  <c r="M60" i="1"/>
  <c r="B46" i="2"/>
  <c r="B148" i="2" s="1"/>
  <c r="B38" i="2"/>
  <c r="B140" i="2" s="1"/>
  <c r="B30" i="2"/>
  <c r="B132" i="2" s="1"/>
  <c r="B22" i="2"/>
  <c r="B124" i="2" s="1"/>
  <c r="B14" i="2"/>
  <c r="B116" i="2" s="1"/>
  <c r="B6" i="2"/>
  <c r="B108" i="2" s="1"/>
  <c r="C43" i="2"/>
  <c r="C145" i="2" s="1"/>
  <c r="C35" i="2"/>
  <c r="C137" i="2" s="1"/>
  <c r="C27" i="2"/>
  <c r="C129" i="2" s="1"/>
  <c r="C19" i="2"/>
  <c r="C121" i="2" s="1"/>
  <c r="C11" i="2"/>
  <c r="C113" i="2" s="1"/>
  <c r="F6" i="2"/>
  <c r="F108" i="2" s="1"/>
  <c r="N6" i="2"/>
  <c r="N108" i="2" s="1"/>
  <c r="V6" i="2"/>
  <c r="V108" i="2" s="1"/>
  <c r="AD6" i="2"/>
  <c r="AD108" i="2" s="1"/>
  <c r="AL6" i="2"/>
  <c r="AL108" i="2" s="1"/>
  <c r="AT6" i="2"/>
  <c r="AT108" i="2" s="1"/>
  <c r="D43" i="2"/>
  <c r="D145" i="2" s="1"/>
  <c r="D35" i="2"/>
  <c r="D137" i="2" s="1"/>
  <c r="D27" i="2"/>
  <c r="D129" i="2" s="1"/>
  <c r="D19" i="2"/>
  <c r="D121" i="2" s="1"/>
  <c r="D11" i="2"/>
  <c r="D113" i="2" s="1"/>
  <c r="E47" i="2"/>
  <c r="E149" i="2" s="1"/>
  <c r="E39" i="2"/>
  <c r="E141" i="2" s="1"/>
  <c r="E31" i="2"/>
  <c r="E133" i="2" s="1"/>
  <c r="E23" i="2"/>
  <c r="E125" i="2" s="1"/>
  <c r="E15" i="2"/>
  <c r="E117" i="2" s="1"/>
  <c r="E7" i="2"/>
  <c r="E109" i="2" s="1"/>
  <c r="F40" i="2"/>
  <c r="F142" i="2" s="1"/>
  <c r="F29" i="2"/>
  <c r="F131" i="2" s="1"/>
  <c r="F19" i="2"/>
  <c r="F121" i="2" s="1"/>
  <c r="F8" i="2"/>
  <c r="F110" i="2" s="1"/>
  <c r="G41" i="2"/>
  <c r="G143" i="2" s="1"/>
  <c r="G31" i="2"/>
  <c r="G133" i="2" s="1"/>
  <c r="G20" i="2"/>
  <c r="G122" i="2" s="1"/>
  <c r="G9" i="2"/>
  <c r="G111" i="2" s="1"/>
  <c r="H43" i="2"/>
  <c r="H145" i="2" s="1"/>
  <c r="H32" i="2"/>
  <c r="H134" i="2" s="1"/>
  <c r="H21" i="2"/>
  <c r="H123" i="2" s="1"/>
  <c r="H11" i="2"/>
  <c r="H113" i="2" s="1"/>
  <c r="I44" i="2"/>
  <c r="I146" i="2" s="1"/>
  <c r="I33" i="2"/>
  <c r="I135" i="2" s="1"/>
  <c r="I23" i="2"/>
  <c r="I125" i="2" s="1"/>
  <c r="I12" i="2"/>
  <c r="I114" i="2" s="1"/>
  <c r="J45" i="2"/>
  <c r="J147" i="2" s="1"/>
  <c r="J35" i="2"/>
  <c r="J137" i="2" s="1"/>
  <c r="J24" i="2"/>
  <c r="J126" i="2" s="1"/>
  <c r="J8" i="2"/>
  <c r="J110" i="2" s="1"/>
  <c r="K36" i="2"/>
  <c r="K138" i="2" s="1"/>
  <c r="M32" i="2"/>
  <c r="M134" i="2" s="1"/>
  <c r="N12" i="2"/>
  <c r="N114" i="2" s="1"/>
  <c r="P32" i="2"/>
  <c r="P134" i="2" s="1"/>
  <c r="R35" i="2"/>
  <c r="R137" i="2" s="1"/>
  <c r="T37" i="2"/>
  <c r="T139" i="2" s="1"/>
  <c r="W41" i="2"/>
  <c r="W143" i="2" s="1"/>
  <c r="AG42" i="2"/>
  <c r="AG144" i="2" s="1"/>
  <c r="AM50" i="2"/>
  <c r="AM152" i="2" s="1"/>
  <c r="AS11" i="2"/>
  <c r="AS113" i="2" s="1"/>
  <c r="AS19" i="2"/>
  <c r="AS121" i="2" s="1"/>
  <c r="AS27" i="2"/>
  <c r="AS129" i="2" s="1"/>
  <c r="AS35" i="2"/>
  <c r="AS137" i="2" s="1"/>
  <c r="AS43" i="2"/>
  <c r="AS145" i="2" s="1"/>
  <c r="AS12" i="2"/>
  <c r="AS114" i="2" s="1"/>
  <c r="AS20" i="2"/>
  <c r="AS122" i="2" s="1"/>
  <c r="AS28" i="2"/>
  <c r="AS130" i="2" s="1"/>
  <c r="AS36" i="2"/>
  <c r="AS138" i="2" s="1"/>
  <c r="AS44" i="2"/>
  <c r="AS146" i="2" s="1"/>
  <c r="AS13" i="2"/>
  <c r="AS115" i="2" s="1"/>
  <c r="AS21" i="2"/>
  <c r="AS123" i="2" s="1"/>
  <c r="AS29" i="2"/>
  <c r="AS131" i="2" s="1"/>
  <c r="AS37" i="2"/>
  <c r="AS139" i="2" s="1"/>
  <c r="AS45" i="2"/>
  <c r="AS147" i="2" s="1"/>
  <c r="AS14" i="2"/>
  <c r="AS116" i="2" s="1"/>
  <c r="AS22" i="2"/>
  <c r="AS124" i="2" s="1"/>
  <c r="AS30" i="2"/>
  <c r="AS132" i="2" s="1"/>
  <c r="AS38" i="2"/>
  <c r="AS140" i="2" s="1"/>
  <c r="AS46" i="2"/>
  <c r="AS148" i="2" s="1"/>
  <c r="AS8" i="2"/>
  <c r="AS110" i="2" s="1"/>
  <c r="AS16" i="2"/>
  <c r="AS118" i="2" s="1"/>
  <c r="AS24" i="2"/>
  <c r="AS126" i="2" s="1"/>
  <c r="AS32" i="2"/>
  <c r="AS134" i="2" s="1"/>
  <c r="AS40" i="2"/>
  <c r="AS142" i="2" s="1"/>
  <c r="AS48" i="2"/>
  <c r="AS150" i="2" s="1"/>
  <c r="AS9" i="2"/>
  <c r="AS111" i="2" s="1"/>
  <c r="AS17" i="2"/>
  <c r="AS119" i="2" s="1"/>
  <c r="AS25" i="2"/>
  <c r="AS127" i="2" s="1"/>
  <c r="AS33" i="2"/>
  <c r="AS135" i="2" s="1"/>
  <c r="AS41" i="2"/>
  <c r="AS143" i="2" s="1"/>
  <c r="AS49" i="2"/>
  <c r="AS151" i="2" s="1"/>
  <c r="AS31" i="2"/>
  <c r="AS133" i="2" s="1"/>
  <c r="AS34" i="2"/>
  <c r="AS136" i="2" s="1"/>
  <c r="AS7" i="2"/>
  <c r="AS109" i="2" s="1"/>
  <c r="AS39" i="2"/>
  <c r="AS141" i="2" s="1"/>
  <c r="AS10" i="2"/>
  <c r="AS112" i="2" s="1"/>
  <c r="AS42" i="2"/>
  <c r="AS144" i="2" s="1"/>
  <c r="AS15" i="2"/>
  <c r="AS117" i="2" s="1"/>
  <c r="AS47" i="2"/>
  <c r="AS149" i="2" s="1"/>
  <c r="AS18" i="2"/>
  <c r="AS120" i="2" s="1"/>
  <c r="AS50" i="2"/>
  <c r="AS152" i="2" s="1"/>
  <c r="AS23" i="2"/>
  <c r="AS125" i="2" s="1"/>
  <c r="U12" i="2"/>
  <c r="U114" i="2" s="1"/>
  <c r="U20" i="2"/>
  <c r="U122" i="2" s="1"/>
  <c r="U28" i="2"/>
  <c r="U130" i="2" s="1"/>
  <c r="U36" i="2"/>
  <c r="U138" i="2" s="1"/>
  <c r="U44" i="2"/>
  <c r="U146" i="2" s="1"/>
  <c r="U13" i="2"/>
  <c r="U115" i="2" s="1"/>
  <c r="U21" i="2"/>
  <c r="U123" i="2" s="1"/>
  <c r="U29" i="2"/>
  <c r="U131" i="2" s="1"/>
  <c r="U37" i="2"/>
  <c r="U139" i="2" s="1"/>
  <c r="U45" i="2"/>
  <c r="U147" i="2" s="1"/>
  <c r="U14" i="2"/>
  <c r="U116" i="2" s="1"/>
  <c r="U22" i="2"/>
  <c r="U124" i="2" s="1"/>
  <c r="U30" i="2"/>
  <c r="U132" i="2" s="1"/>
  <c r="U38" i="2"/>
  <c r="U140" i="2" s="1"/>
  <c r="U46" i="2"/>
  <c r="U148" i="2" s="1"/>
  <c r="U8" i="2"/>
  <c r="U110" i="2" s="1"/>
  <c r="U16" i="2"/>
  <c r="U118" i="2" s="1"/>
  <c r="U24" i="2"/>
  <c r="U126" i="2" s="1"/>
  <c r="U32" i="2"/>
  <c r="U134" i="2" s="1"/>
  <c r="U40" i="2"/>
  <c r="U142" i="2" s="1"/>
  <c r="U48" i="2"/>
  <c r="U150" i="2" s="1"/>
  <c r="U18" i="2"/>
  <c r="U120" i="2" s="1"/>
  <c r="U34" i="2"/>
  <c r="U136" i="2" s="1"/>
  <c r="U50" i="2"/>
  <c r="U152" i="2" s="1"/>
  <c r="U19" i="2"/>
  <c r="U121" i="2" s="1"/>
  <c r="U35" i="2"/>
  <c r="U137" i="2" s="1"/>
  <c r="U7" i="2"/>
  <c r="U109" i="2" s="1"/>
  <c r="U23" i="2"/>
  <c r="U125" i="2" s="1"/>
  <c r="U39" i="2"/>
  <c r="U141" i="2" s="1"/>
  <c r="U9" i="2"/>
  <c r="U111" i="2" s="1"/>
  <c r="U25" i="2"/>
  <c r="U127" i="2" s="1"/>
  <c r="U41" i="2"/>
  <c r="U143" i="2" s="1"/>
  <c r="U10" i="2"/>
  <c r="U112" i="2" s="1"/>
  <c r="U26" i="2"/>
  <c r="U128" i="2" s="1"/>
  <c r="U42" i="2"/>
  <c r="U144" i="2" s="1"/>
  <c r="U11" i="2"/>
  <c r="U113" i="2" s="1"/>
  <c r="U27" i="2"/>
  <c r="U129" i="2" s="1"/>
  <c r="U43" i="2"/>
  <c r="U145" i="2" s="1"/>
  <c r="U15" i="2"/>
  <c r="U117" i="2" s="1"/>
  <c r="U31" i="2"/>
  <c r="U133" i="2" s="1"/>
  <c r="U47" i="2"/>
  <c r="U149" i="2" s="1"/>
  <c r="AR7" i="2"/>
  <c r="AR109" i="2" s="1"/>
  <c r="AR15" i="2"/>
  <c r="AR117" i="2" s="1"/>
  <c r="AR23" i="2"/>
  <c r="AR125" i="2" s="1"/>
  <c r="AR31" i="2"/>
  <c r="AR133" i="2" s="1"/>
  <c r="AR39" i="2"/>
  <c r="AR141" i="2" s="1"/>
  <c r="AR47" i="2"/>
  <c r="AR149" i="2" s="1"/>
  <c r="AR8" i="2"/>
  <c r="AR110" i="2" s="1"/>
  <c r="AR16" i="2"/>
  <c r="AR118" i="2" s="1"/>
  <c r="AR24" i="2"/>
  <c r="AR126" i="2" s="1"/>
  <c r="AR32" i="2"/>
  <c r="AR134" i="2" s="1"/>
  <c r="AR40" i="2"/>
  <c r="AR142" i="2" s="1"/>
  <c r="AR48" i="2"/>
  <c r="AR150" i="2" s="1"/>
  <c r="AR9" i="2"/>
  <c r="AR111" i="2" s="1"/>
  <c r="AR17" i="2"/>
  <c r="AR119" i="2" s="1"/>
  <c r="AR25" i="2"/>
  <c r="AR127" i="2" s="1"/>
  <c r="AR33" i="2"/>
  <c r="AR135" i="2" s="1"/>
  <c r="AR41" i="2"/>
  <c r="AR143" i="2" s="1"/>
  <c r="AR49" i="2"/>
  <c r="AR151" i="2" s="1"/>
  <c r="AR10" i="2"/>
  <c r="AR112" i="2" s="1"/>
  <c r="AR18" i="2"/>
  <c r="AR120" i="2" s="1"/>
  <c r="AR26" i="2"/>
  <c r="AR128" i="2" s="1"/>
  <c r="AR34" i="2"/>
  <c r="AR136" i="2" s="1"/>
  <c r="AR42" i="2"/>
  <c r="AR144" i="2" s="1"/>
  <c r="AR50" i="2"/>
  <c r="AR152" i="2" s="1"/>
  <c r="AR12" i="2"/>
  <c r="AR114" i="2" s="1"/>
  <c r="AR20" i="2"/>
  <c r="AR122" i="2" s="1"/>
  <c r="AR28" i="2"/>
  <c r="AR130" i="2" s="1"/>
  <c r="AR36" i="2"/>
  <c r="AR138" i="2" s="1"/>
  <c r="AR44" i="2"/>
  <c r="AR146" i="2" s="1"/>
  <c r="AR13" i="2"/>
  <c r="AR115" i="2" s="1"/>
  <c r="AR21" i="2"/>
  <c r="AR123" i="2" s="1"/>
  <c r="AR29" i="2"/>
  <c r="AR131" i="2" s="1"/>
  <c r="AR37" i="2"/>
  <c r="AR139" i="2" s="1"/>
  <c r="AR45" i="2"/>
  <c r="AR147" i="2" s="1"/>
  <c r="AR19" i="2"/>
  <c r="AR121" i="2" s="1"/>
  <c r="AR22" i="2"/>
  <c r="AR124" i="2" s="1"/>
  <c r="AR27" i="2"/>
  <c r="AR129" i="2" s="1"/>
  <c r="AR30" i="2"/>
  <c r="AR132" i="2" s="1"/>
  <c r="AR35" i="2"/>
  <c r="AR137" i="2" s="1"/>
  <c r="AR38" i="2"/>
  <c r="AR140" i="2" s="1"/>
  <c r="AR11" i="2"/>
  <c r="AR113" i="2" s="1"/>
  <c r="AR43" i="2"/>
  <c r="AR145" i="2" s="1"/>
  <c r="AJ7" i="2"/>
  <c r="AJ109" i="2" s="1"/>
  <c r="AJ15" i="2"/>
  <c r="AJ117" i="2" s="1"/>
  <c r="AJ23" i="2"/>
  <c r="AJ125" i="2" s="1"/>
  <c r="AJ31" i="2"/>
  <c r="AJ133" i="2" s="1"/>
  <c r="AJ39" i="2"/>
  <c r="AJ141" i="2" s="1"/>
  <c r="AJ47" i="2"/>
  <c r="AJ149" i="2" s="1"/>
  <c r="AJ8" i="2"/>
  <c r="AJ110" i="2" s="1"/>
  <c r="AJ16" i="2"/>
  <c r="AJ118" i="2" s="1"/>
  <c r="AJ24" i="2"/>
  <c r="AJ126" i="2" s="1"/>
  <c r="AJ32" i="2"/>
  <c r="AJ134" i="2" s="1"/>
  <c r="AJ40" i="2"/>
  <c r="AJ142" i="2" s="1"/>
  <c r="AJ48" i="2"/>
  <c r="AJ150" i="2" s="1"/>
  <c r="AJ9" i="2"/>
  <c r="AJ111" i="2" s="1"/>
  <c r="AJ17" i="2"/>
  <c r="AJ119" i="2" s="1"/>
  <c r="AJ25" i="2"/>
  <c r="AJ127" i="2" s="1"/>
  <c r="AJ33" i="2"/>
  <c r="AJ135" i="2" s="1"/>
  <c r="AJ41" i="2"/>
  <c r="AJ143" i="2" s="1"/>
  <c r="AJ49" i="2"/>
  <c r="AJ151" i="2" s="1"/>
  <c r="AJ10" i="2"/>
  <c r="AJ112" i="2" s="1"/>
  <c r="AJ18" i="2"/>
  <c r="AJ120" i="2" s="1"/>
  <c r="AJ26" i="2"/>
  <c r="AJ128" i="2" s="1"/>
  <c r="AJ34" i="2"/>
  <c r="AJ136" i="2" s="1"/>
  <c r="AJ42" i="2"/>
  <c r="AJ144" i="2" s="1"/>
  <c r="AJ50" i="2"/>
  <c r="AJ152" i="2" s="1"/>
  <c r="AJ12" i="2"/>
  <c r="AJ114" i="2" s="1"/>
  <c r="AJ20" i="2"/>
  <c r="AJ122" i="2" s="1"/>
  <c r="AJ28" i="2"/>
  <c r="AJ130" i="2" s="1"/>
  <c r="AJ36" i="2"/>
  <c r="AJ138" i="2" s="1"/>
  <c r="AJ44" i="2"/>
  <c r="AJ146" i="2" s="1"/>
  <c r="AJ13" i="2"/>
  <c r="AJ115" i="2" s="1"/>
  <c r="AJ21" i="2"/>
  <c r="AJ123" i="2" s="1"/>
  <c r="AJ29" i="2"/>
  <c r="AJ131" i="2" s="1"/>
  <c r="AJ37" i="2"/>
  <c r="AJ139" i="2" s="1"/>
  <c r="AJ45" i="2"/>
  <c r="AJ147" i="2" s="1"/>
  <c r="AJ19" i="2"/>
  <c r="AJ121" i="2" s="1"/>
  <c r="AJ22" i="2"/>
  <c r="AJ124" i="2" s="1"/>
  <c r="AJ27" i="2"/>
  <c r="AJ129" i="2" s="1"/>
  <c r="AJ30" i="2"/>
  <c r="AJ132" i="2" s="1"/>
  <c r="AJ35" i="2"/>
  <c r="AJ137" i="2" s="1"/>
  <c r="AJ38" i="2"/>
  <c r="AJ140" i="2" s="1"/>
  <c r="AJ11" i="2"/>
  <c r="AJ113" i="2" s="1"/>
  <c r="AJ43" i="2"/>
  <c r="AJ145" i="2" s="1"/>
  <c r="AB7" i="2"/>
  <c r="AB109" i="2" s="1"/>
  <c r="AB15" i="2"/>
  <c r="AB117" i="2" s="1"/>
  <c r="AB23" i="2"/>
  <c r="AB125" i="2" s="1"/>
  <c r="AB31" i="2"/>
  <c r="AB133" i="2" s="1"/>
  <c r="AB39" i="2"/>
  <c r="AB141" i="2" s="1"/>
  <c r="AB47" i="2"/>
  <c r="AB149" i="2" s="1"/>
  <c r="AB8" i="2"/>
  <c r="AB110" i="2" s="1"/>
  <c r="AB16" i="2"/>
  <c r="AB118" i="2" s="1"/>
  <c r="AB24" i="2"/>
  <c r="AB126" i="2" s="1"/>
  <c r="AB32" i="2"/>
  <c r="AB134" i="2" s="1"/>
  <c r="AB40" i="2"/>
  <c r="AB142" i="2" s="1"/>
  <c r="AB48" i="2"/>
  <c r="AB150" i="2" s="1"/>
  <c r="AB9" i="2"/>
  <c r="AB111" i="2" s="1"/>
  <c r="AB17" i="2"/>
  <c r="AB119" i="2" s="1"/>
  <c r="AB25" i="2"/>
  <c r="AB127" i="2" s="1"/>
  <c r="AB33" i="2"/>
  <c r="AB135" i="2" s="1"/>
  <c r="AB41" i="2"/>
  <c r="AB143" i="2" s="1"/>
  <c r="AB49" i="2"/>
  <c r="AB151" i="2" s="1"/>
  <c r="AB10" i="2"/>
  <c r="AB112" i="2" s="1"/>
  <c r="AB18" i="2"/>
  <c r="AB120" i="2" s="1"/>
  <c r="AB26" i="2"/>
  <c r="AB128" i="2" s="1"/>
  <c r="AB34" i="2"/>
  <c r="AB136" i="2" s="1"/>
  <c r="AB42" i="2"/>
  <c r="AB144" i="2" s="1"/>
  <c r="AB50" i="2"/>
  <c r="AB152" i="2" s="1"/>
  <c r="AB12" i="2"/>
  <c r="AB114" i="2" s="1"/>
  <c r="AB20" i="2"/>
  <c r="AB122" i="2" s="1"/>
  <c r="AB28" i="2"/>
  <c r="AB130" i="2" s="1"/>
  <c r="AB36" i="2"/>
  <c r="AB138" i="2" s="1"/>
  <c r="AB44" i="2"/>
  <c r="AB146" i="2" s="1"/>
  <c r="AB13" i="2"/>
  <c r="AB115" i="2" s="1"/>
  <c r="AB21" i="2"/>
  <c r="AB123" i="2" s="1"/>
  <c r="AB29" i="2"/>
  <c r="AB131" i="2" s="1"/>
  <c r="AB37" i="2"/>
  <c r="AB139" i="2" s="1"/>
  <c r="AB45" i="2"/>
  <c r="AB147" i="2" s="1"/>
  <c r="AB19" i="2"/>
  <c r="AB121" i="2" s="1"/>
  <c r="AB22" i="2"/>
  <c r="AB124" i="2" s="1"/>
  <c r="AB27" i="2"/>
  <c r="AB129" i="2" s="1"/>
  <c r="AB30" i="2"/>
  <c r="AB132" i="2" s="1"/>
  <c r="AB35" i="2"/>
  <c r="AB137" i="2" s="1"/>
  <c r="AB38" i="2"/>
  <c r="AB140" i="2" s="1"/>
  <c r="AB11" i="2"/>
  <c r="AB113" i="2" s="1"/>
  <c r="AB43" i="2"/>
  <c r="AB145" i="2" s="1"/>
  <c r="AQ11" i="2"/>
  <c r="AQ113" i="2" s="1"/>
  <c r="AQ19" i="2"/>
  <c r="AQ121" i="2" s="1"/>
  <c r="AQ27" i="2"/>
  <c r="AQ129" i="2" s="1"/>
  <c r="AQ35" i="2"/>
  <c r="AQ137" i="2" s="1"/>
  <c r="AQ43" i="2"/>
  <c r="AQ145" i="2" s="1"/>
  <c r="AQ12" i="2"/>
  <c r="AQ114" i="2" s="1"/>
  <c r="AQ20" i="2"/>
  <c r="AQ122" i="2" s="1"/>
  <c r="AQ28" i="2"/>
  <c r="AQ130" i="2" s="1"/>
  <c r="AQ36" i="2"/>
  <c r="AQ138" i="2" s="1"/>
  <c r="AQ44" i="2"/>
  <c r="AQ146" i="2" s="1"/>
  <c r="AQ13" i="2"/>
  <c r="AQ115" i="2" s="1"/>
  <c r="AQ21" i="2"/>
  <c r="AQ123" i="2" s="1"/>
  <c r="AQ29" i="2"/>
  <c r="AQ131" i="2" s="1"/>
  <c r="AQ37" i="2"/>
  <c r="AQ139" i="2" s="1"/>
  <c r="AQ45" i="2"/>
  <c r="AQ147" i="2" s="1"/>
  <c r="AQ14" i="2"/>
  <c r="AQ116" i="2" s="1"/>
  <c r="AQ22" i="2"/>
  <c r="AQ124" i="2" s="1"/>
  <c r="AQ30" i="2"/>
  <c r="AQ132" i="2" s="1"/>
  <c r="AQ38" i="2"/>
  <c r="AQ140" i="2" s="1"/>
  <c r="AQ46" i="2"/>
  <c r="AQ148" i="2" s="1"/>
  <c r="AQ8" i="2"/>
  <c r="AQ110" i="2" s="1"/>
  <c r="AQ16" i="2"/>
  <c r="AQ118" i="2" s="1"/>
  <c r="AQ24" i="2"/>
  <c r="AQ126" i="2" s="1"/>
  <c r="AQ32" i="2"/>
  <c r="AQ134" i="2" s="1"/>
  <c r="AQ40" i="2"/>
  <c r="AQ142" i="2" s="1"/>
  <c r="AQ48" i="2"/>
  <c r="AQ150" i="2" s="1"/>
  <c r="AQ9" i="2"/>
  <c r="AQ111" i="2" s="1"/>
  <c r="AQ17" i="2"/>
  <c r="AQ119" i="2" s="1"/>
  <c r="AQ25" i="2"/>
  <c r="AQ127" i="2" s="1"/>
  <c r="AQ33" i="2"/>
  <c r="AQ135" i="2" s="1"/>
  <c r="AQ41" i="2"/>
  <c r="AQ143" i="2" s="1"/>
  <c r="AQ49" i="2"/>
  <c r="AQ151" i="2" s="1"/>
  <c r="AQ7" i="2"/>
  <c r="AQ109" i="2" s="1"/>
  <c r="AQ39" i="2"/>
  <c r="AQ141" i="2" s="1"/>
  <c r="AQ10" i="2"/>
  <c r="AQ112" i="2" s="1"/>
  <c r="AQ42" i="2"/>
  <c r="AQ144" i="2" s="1"/>
  <c r="AQ15" i="2"/>
  <c r="AQ117" i="2" s="1"/>
  <c r="AQ47" i="2"/>
  <c r="AQ149" i="2" s="1"/>
  <c r="AQ18" i="2"/>
  <c r="AQ120" i="2" s="1"/>
  <c r="AQ50" i="2"/>
  <c r="AQ152" i="2" s="1"/>
  <c r="AQ23" i="2"/>
  <c r="AQ125" i="2" s="1"/>
  <c r="AQ26" i="2"/>
  <c r="AQ128" i="2" s="1"/>
  <c r="AQ31" i="2"/>
  <c r="AQ133" i="2" s="1"/>
  <c r="AI11" i="2"/>
  <c r="AI113" i="2" s="1"/>
  <c r="AI19" i="2"/>
  <c r="AI121" i="2" s="1"/>
  <c r="AI27" i="2"/>
  <c r="AI129" i="2" s="1"/>
  <c r="AI35" i="2"/>
  <c r="AI137" i="2" s="1"/>
  <c r="AI43" i="2"/>
  <c r="AI145" i="2" s="1"/>
  <c r="AI12" i="2"/>
  <c r="AI114" i="2" s="1"/>
  <c r="AI20" i="2"/>
  <c r="AI122" i="2" s="1"/>
  <c r="AI28" i="2"/>
  <c r="AI130" i="2" s="1"/>
  <c r="AI36" i="2"/>
  <c r="AI138" i="2" s="1"/>
  <c r="AI44" i="2"/>
  <c r="AI146" i="2" s="1"/>
  <c r="AI13" i="2"/>
  <c r="AI115" i="2" s="1"/>
  <c r="AI21" i="2"/>
  <c r="AI123" i="2" s="1"/>
  <c r="AI29" i="2"/>
  <c r="AI131" i="2" s="1"/>
  <c r="AI37" i="2"/>
  <c r="AI139" i="2" s="1"/>
  <c r="AI45" i="2"/>
  <c r="AI147" i="2" s="1"/>
  <c r="AI14" i="2"/>
  <c r="AI116" i="2" s="1"/>
  <c r="AI22" i="2"/>
  <c r="AI124" i="2" s="1"/>
  <c r="AI30" i="2"/>
  <c r="AI132" i="2" s="1"/>
  <c r="AI38" i="2"/>
  <c r="AI140" i="2" s="1"/>
  <c r="AI46" i="2"/>
  <c r="AI148" i="2" s="1"/>
  <c r="AI8" i="2"/>
  <c r="AI110" i="2" s="1"/>
  <c r="AI16" i="2"/>
  <c r="AI118" i="2" s="1"/>
  <c r="AI24" i="2"/>
  <c r="AI126" i="2" s="1"/>
  <c r="AI32" i="2"/>
  <c r="AI134" i="2" s="1"/>
  <c r="AI40" i="2"/>
  <c r="AI142" i="2" s="1"/>
  <c r="AI48" i="2"/>
  <c r="AI150" i="2" s="1"/>
  <c r="AI9" i="2"/>
  <c r="AI111" i="2" s="1"/>
  <c r="AI17" i="2"/>
  <c r="AI119" i="2" s="1"/>
  <c r="AI25" i="2"/>
  <c r="AI127" i="2" s="1"/>
  <c r="AI33" i="2"/>
  <c r="AI135" i="2" s="1"/>
  <c r="AI41" i="2"/>
  <c r="AI143" i="2" s="1"/>
  <c r="AI49" i="2"/>
  <c r="AI151" i="2" s="1"/>
  <c r="AI7" i="2"/>
  <c r="AI109" i="2" s="1"/>
  <c r="AI39" i="2"/>
  <c r="AI141" i="2" s="1"/>
  <c r="AI10" i="2"/>
  <c r="AI112" i="2" s="1"/>
  <c r="AI42" i="2"/>
  <c r="AI144" i="2" s="1"/>
  <c r="AI15" i="2"/>
  <c r="AI117" i="2" s="1"/>
  <c r="AI47" i="2"/>
  <c r="AI149" i="2" s="1"/>
  <c r="AI18" i="2"/>
  <c r="AI120" i="2" s="1"/>
  <c r="AI50" i="2"/>
  <c r="AI152" i="2" s="1"/>
  <c r="AI23" i="2"/>
  <c r="AI125" i="2" s="1"/>
  <c r="AI26" i="2"/>
  <c r="AI128" i="2" s="1"/>
  <c r="AI31" i="2"/>
  <c r="AI133" i="2" s="1"/>
  <c r="AA11" i="2"/>
  <c r="AA113" i="2" s="1"/>
  <c r="AA19" i="2"/>
  <c r="AA121" i="2" s="1"/>
  <c r="AA27" i="2"/>
  <c r="AA129" i="2" s="1"/>
  <c r="AA35" i="2"/>
  <c r="AA137" i="2" s="1"/>
  <c r="AA43" i="2"/>
  <c r="AA145" i="2" s="1"/>
  <c r="AA12" i="2"/>
  <c r="AA114" i="2" s="1"/>
  <c r="AA20" i="2"/>
  <c r="AA122" i="2" s="1"/>
  <c r="AA28" i="2"/>
  <c r="AA130" i="2" s="1"/>
  <c r="AA36" i="2"/>
  <c r="AA138" i="2" s="1"/>
  <c r="AA44" i="2"/>
  <c r="AA146" i="2" s="1"/>
  <c r="AA13" i="2"/>
  <c r="AA115" i="2" s="1"/>
  <c r="AA21" i="2"/>
  <c r="AA123" i="2" s="1"/>
  <c r="AA29" i="2"/>
  <c r="AA131" i="2" s="1"/>
  <c r="AA37" i="2"/>
  <c r="AA139" i="2" s="1"/>
  <c r="AA45" i="2"/>
  <c r="AA147" i="2" s="1"/>
  <c r="AA14" i="2"/>
  <c r="AA116" i="2" s="1"/>
  <c r="AA22" i="2"/>
  <c r="AA124" i="2" s="1"/>
  <c r="AA30" i="2"/>
  <c r="AA132" i="2" s="1"/>
  <c r="AA38" i="2"/>
  <c r="AA140" i="2" s="1"/>
  <c r="AA46" i="2"/>
  <c r="AA148" i="2" s="1"/>
  <c r="AA8" i="2"/>
  <c r="AA110" i="2" s="1"/>
  <c r="AA16" i="2"/>
  <c r="AA118" i="2" s="1"/>
  <c r="AA24" i="2"/>
  <c r="AA126" i="2" s="1"/>
  <c r="AA32" i="2"/>
  <c r="AA134" i="2" s="1"/>
  <c r="AA40" i="2"/>
  <c r="AA142" i="2" s="1"/>
  <c r="AA48" i="2"/>
  <c r="AA150" i="2" s="1"/>
  <c r="AA9" i="2"/>
  <c r="AA111" i="2" s="1"/>
  <c r="AA17" i="2"/>
  <c r="AA119" i="2" s="1"/>
  <c r="AA25" i="2"/>
  <c r="AA127" i="2" s="1"/>
  <c r="AA33" i="2"/>
  <c r="AA135" i="2" s="1"/>
  <c r="AA41" i="2"/>
  <c r="AA143" i="2" s="1"/>
  <c r="AA49" i="2"/>
  <c r="AA151" i="2" s="1"/>
  <c r="AA7" i="2"/>
  <c r="AA109" i="2" s="1"/>
  <c r="AA39" i="2"/>
  <c r="AA141" i="2" s="1"/>
  <c r="AA10" i="2"/>
  <c r="AA112" i="2" s="1"/>
  <c r="AA42" i="2"/>
  <c r="AA144" i="2" s="1"/>
  <c r="AA15" i="2"/>
  <c r="AA117" i="2" s="1"/>
  <c r="AA47" i="2"/>
  <c r="AA149" i="2" s="1"/>
  <c r="AA18" i="2"/>
  <c r="AA120" i="2" s="1"/>
  <c r="AA50" i="2"/>
  <c r="AA152" i="2" s="1"/>
  <c r="AA23" i="2"/>
  <c r="AA125" i="2" s="1"/>
  <c r="AA26" i="2"/>
  <c r="AA128" i="2" s="1"/>
  <c r="AA31" i="2"/>
  <c r="AA133" i="2" s="1"/>
  <c r="S13" i="2"/>
  <c r="S115" i="2" s="1"/>
  <c r="S21" i="2"/>
  <c r="S123" i="2" s="1"/>
  <c r="S29" i="2"/>
  <c r="S131" i="2" s="1"/>
  <c r="S37" i="2"/>
  <c r="S139" i="2" s="1"/>
  <c r="S45" i="2"/>
  <c r="S147" i="2" s="1"/>
  <c r="S8" i="2"/>
  <c r="S110" i="2" s="1"/>
  <c r="S16" i="2"/>
  <c r="S118" i="2" s="1"/>
  <c r="S24" i="2"/>
  <c r="S126" i="2" s="1"/>
  <c r="S32" i="2"/>
  <c r="S134" i="2" s="1"/>
  <c r="S40" i="2"/>
  <c r="S142" i="2" s="1"/>
  <c r="S48" i="2"/>
  <c r="S150" i="2" s="1"/>
  <c r="S17" i="2"/>
  <c r="S119" i="2" s="1"/>
  <c r="S27" i="2"/>
  <c r="S129" i="2" s="1"/>
  <c r="S38" i="2"/>
  <c r="S140" i="2" s="1"/>
  <c r="S49" i="2"/>
  <c r="S151" i="2" s="1"/>
  <c r="S7" i="2"/>
  <c r="S109" i="2" s="1"/>
  <c r="S18" i="2"/>
  <c r="S120" i="2" s="1"/>
  <c r="S28" i="2"/>
  <c r="S130" i="2" s="1"/>
  <c r="S39" i="2"/>
  <c r="S141" i="2" s="1"/>
  <c r="S50" i="2"/>
  <c r="S152" i="2" s="1"/>
  <c r="S9" i="2"/>
  <c r="S111" i="2" s="1"/>
  <c r="S19" i="2"/>
  <c r="S121" i="2" s="1"/>
  <c r="S30" i="2"/>
  <c r="S132" i="2" s="1"/>
  <c r="S41" i="2"/>
  <c r="S143" i="2" s="1"/>
  <c r="S10" i="2"/>
  <c r="S112" i="2" s="1"/>
  <c r="S20" i="2"/>
  <c r="S122" i="2" s="1"/>
  <c r="S31" i="2"/>
  <c r="S133" i="2" s="1"/>
  <c r="S42" i="2"/>
  <c r="S144" i="2" s="1"/>
  <c r="S11" i="2"/>
  <c r="S113" i="2" s="1"/>
  <c r="S22" i="2"/>
  <c r="S124" i="2" s="1"/>
  <c r="S33" i="2"/>
  <c r="S135" i="2" s="1"/>
  <c r="S43" i="2"/>
  <c r="S145" i="2" s="1"/>
  <c r="S12" i="2"/>
  <c r="S114" i="2" s="1"/>
  <c r="S23" i="2"/>
  <c r="S125" i="2" s="1"/>
  <c r="S34" i="2"/>
  <c r="S136" i="2" s="1"/>
  <c r="S44" i="2"/>
  <c r="S146" i="2" s="1"/>
  <c r="S14" i="2"/>
  <c r="S116" i="2" s="1"/>
  <c r="S25" i="2"/>
  <c r="S127" i="2" s="1"/>
  <c r="S35" i="2"/>
  <c r="S137" i="2" s="1"/>
  <c r="S46" i="2"/>
  <c r="S148" i="2" s="1"/>
  <c r="K9" i="2"/>
  <c r="K111" i="2" s="1"/>
  <c r="K10" i="2"/>
  <c r="K112" i="2" s="1"/>
  <c r="K18" i="2"/>
  <c r="K120" i="2" s="1"/>
  <c r="K26" i="2"/>
  <c r="K128" i="2" s="1"/>
  <c r="K34" i="2"/>
  <c r="K136" i="2" s="1"/>
  <c r="K42" i="2"/>
  <c r="K144" i="2" s="1"/>
  <c r="K50" i="2"/>
  <c r="K152" i="2" s="1"/>
  <c r="K11" i="2"/>
  <c r="K113" i="2" s="1"/>
  <c r="K19" i="2"/>
  <c r="K121" i="2" s="1"/>
  <c r="K27" i="2"/>
  <c r="K129" i="2" s="1"/>
  <c r="K35" i="2"/>
  <c r="K137" i="2" s="1"/>
  <c r="K43" i="2"/>
  <c r="K145" i="2" s="1"/>
  <c r="K12" i="2"/>
  <c r="K114" i="2" s="1"/>
  <c r="K20" i="2"/>
  <c r="K122" i="2" s="1"/>
  <c r="K28" i="2"/>
  <c r="K130" i="2" s="1"/>
  <c r="K13" i="2"/>
  <c r="K115" i="2" s="1"/>
  <c r="K21" i="2"/>
  <c r="K123" i="2" s="1"/>
  <c r="K14" i="2"/>
  <c r="K116" i="2" s="1"/>
  <c r="K22" i="2"/>
  <c r="K124" i="2" s="1"/>
  <c r="K30" i="2"/>
  <c r="K132" i="2" s="1"/>
  <c r="K38" i="2"/>
  <c r="K140" i="2" s="1"/>
  <c r="K46" i="2"/>
  <c r="K148" i="2" s="1"/>
  <c r="K7" i="2"/>
  <c r="K109" i="2" s="1"/>
  <c r="K15" i="2"/>
  <c r="K117" i="2" s="1"/>
  <c r="K23" i="2"/>
  <c r="K125" i="2" s="1"/>
  <c r="K31" i="2"/>
  <c r="K133" i="2" s="1"/>
  <c r="K39" i="2"/>
  <c r="K141" i="2" s="1"/>
  <c r="K47" i="2"/>
  <c r="K149" i="2" s="1"/>
  <c r="B45" i="2"/>
  <c r="B147" i="2" s="1"/>
  <c r="B37" i="2"/>
  <c r="B139" i="2" s="1"/>
  <c r="B29" i="2"/>
  <c r="B131" i="2" s="1"/>
  <c r="B21" i="2"/>
  <c r="B123" i="2" s="1"/>
  <c r="B13" i="2"/>
  <c r="B115" i="2" s="1"/>
  <c r="C50" i="2"/>
  <c r="C152" i="2" s="1"/>
  <c r="C42" i="2"/>
  <c r="C144" i="2" s="1"/>
  <c r="C34" i="2"/>
  <c r="C136" i="2" s="1"/>
  <c r="C26" i="2"/>
  <c r="C128" i="2" s="1"/>
  <c r="C18" i="2"/>
  <c r="C120" i="2" s="1"/>
  <c r="C10" i="2"/>
  <c r="C112" i="2" s="1"/>
  <c r="G6" i="2"/>
  <c r="G108" i="2" s="1"/>
  <c r="O6" i="2"/>
  <c r="O108" i="2" s="1"/>
  <c r="W6" i="2"/>
  <c r="W108" i="2" s="1"/>
  <c r="AE6" i="2"/>
  <c r="AE108" i="2" s="1"/>
  <c r="AM6" i="2"/>
  <c r="AM108" i="2" s="1"/>
  <c r="D50" i="2"/>
  <c r="D152" i="2" s="1"/>
  <c r="D42" i="2"/>
  <c r="D144" i="2" s="1"/>
  <c r="D34" i="2"/>
  <c r="D136" i="2" s="1"/>
  <c r="D26" i="2"/>
  <c r="D128" i="2" s="1"/>
  <c r="D18" i="2"/>
  <c r="D120" i="2" s="1"/>
  <c r="D10" i="2"/>
  <c r="D112" i="2" s="1"/>
  <c r="E46" i="2"/>
  <c r="E148" i="2" s="1"/>
  <c r="E38" i="2"/>
  <c r="E140" i="2" s="1"/>
  <c r="E30" i="2"/>
  <c r="E132" i="2" s="1"/>
  <c r="E22" i="2"/>
  <c r="E124" i="2" s="1"/>
  <c r="E14" i="2"/>
  <c r="E116" i="2" s="1"/>
  <c r="F49" i="2"/>
  <c r="F151" i="2" s="1"/>
  <c r="F38" i="2"/>
  <c r="F140" i="2" s="1"/>
  <c r="F28" i="2"/>
  <c r="F130" i="2" s="1"/>
  <c r="F17" i="2"/>
  <c r="F119" i="2" s="1"/>
  <c r="G50" i="2"/>
  <c r="G152" i="2" s="1"/>
  <c r="G40" i="2"/>
  <c r="G142" i="2" s="1"/>
  <c r="G29" i="2"/>
  <c r="G131" i="2" s="1"/>
  <c r="G18" i="2"/>
  <c r="G120" i="2" s="1"/>
  <c r="G8" i="2"/>
  <c r="G110" i="2" s="1"/>
  <c r="H41" i="2"/>
  <c r="H143" i="2" s="1"/>
  <c r="H30" i="2"/>
  <c r="H132" i="2" s="1"/>
  <c r="H20" i="2"/>
  <c r="H122" i="2" s="1"/>
  <c r="H9" i="2"/>
  <c r="H111" i="2" s="1"/>
  <c r="I42" i="2"/>
  <c r="I144" i="2" s="1"/>
  <c r="I32" i="2"/>
  <c r="I134" i="2" s="1"/>
  <c r="I21" i="2"/>
  <c r="I123" i="2" s="1"/>
  <c r="I10" i="2"/>
  <c r="I112" i="2" s="1"/>
  <c r="J44" i="2"/>
  <c r="J146" i="2" s="1"/>
  <c r="J33" i="2"/>
  <c r="J135" i="2" s="1"/>
  <c r="J21" i="2"/>
  <c r="J123" i="2" s="1"/>
  <c r="K49" i="2"/>
  <c r="K151" i="2" s="1"/>
  <c r="K33" i="2"/>
  <c r="K135" i="2" s="1"/>
  <c r="L44" i="2"/>
  <c r="L146" i="2" s="1"/>
  <c r="M24" i="2"/>
  <c r="M126" i="2" s="1"/>
  <c r="O48" i="2"/>
  <c r="O150" i="2" s="1"/>
  <c r="P22" i="2"/>
  <c r="P124" i="2" s="1"/>
  <c r="R24" i="2"/>
  <c r="R126" i="2" s="1"/>
  <c r="T21" i="2"/>
  <c r="T123" i="2" s="1"/>
  <c r="W25" i="2"/>
  <c r="W127" i="2" s="1"/>
  <c r="AB46" i="2"/>
  <c r="AB148" i="2" s="1"/>
  <c r="AG10" i="2"/>
  <c r="AG112" i="2" s="1"/>
  <c r="AM18" i="2"/>
  <c r="AM120" i="2" s="1"/>
  <c r="AS26" i="2"/>
  <c r="AS128" i="2" s="1"/>
  <c r="B44" i="2"/>
  <c r="B146" i="2" s="1"/>
  <c r="B36" i="2"/>
  <c r="B138" i="2" s="1"/>
  <c r="B28" i="2"/>
  <c r="B130" i="2" s="1"/>
  <c r="B20" i="2"/>
  <c r="B122" i="2" s="1"/>
  <c r="C49" i="2"/>
  <c r="C151" i="2" s="1"/>
  <c r="C41" i="2"/>
  <c r="C143" i="2" s="1"/>
  <c r="C33" i="2"/>
  <c r="C135" i="2" s="1"/>
  <c r="C25" i="2"/>
  <c r="C127" i="2" s="1"/>
  <c r="C17" i="2"/>
  <c r="C119" i="2" s="1"/>
  <c r="H6" i="2"/>
  <c r="H108" i="2" s="1"/>
  <c r="P6" i="2"/>
  <c r="P108" i="2" s="1"/>
  <c r="X6" i="2"/>
  <c r="X108" i="2" s="1"/>
  <c r="AF6" i="2"/>
  <c r="AF108" i="2" s="1"/>
  <c r="AN6" i="2"/>
  <c r="AN108" i="2" s="1"/>
  <c r="D49" i="2"/>
  <c r="D151" i="2" s="1"/>
  <c r="D41" i="2"/>
  <c r="D143" i="2" s="1"/>
  <c r="D33" i="2"/>
  <c r="D135" i="2" s="1"/>
  <c r="D25" i="2"/>
  <c r="D127" i="2" s="1"/>
  <c r="D17" i="2"/>
  <c r="D119" i="2" s="1"/>
  <c r="E45" i="2"/>
  <c r="E147" i="2" s="1"/>
  <c r="E37" i="2"/>
  <c r="E139" i="2" s="1"/>
  <c r="E29" i="2"/>
  <c r="E131" i="2" s="1"/>
  <c r="E21" i="2"/>
  <c r="E123" i="2" s="1"/>
  <c r="F48" i="2"/>
  <c r="F150" i="2" s="1"/>
  <c r="F37" i="2"/>
  <c r="F139" i="2" s="1"/>
  <c r="F27" i="2"/>
  <c r="F129" i="2" s="1"/>
  <c r="F16" i="2"/>
  <c r="F118" i="2" s="1"/>
  <c r="G49" i="2"/>
  <c r="G151" i="2" s="1"/>
  <c r="G39" i="2"/>
  <c r="G141" i="2" s="1"/>
  <c r="G28" i="2"/>
  <c r="G130" i="2" s="1"/>
  <c r="G17" i="2"/>
  <c r="G119" i="2" s="1"/>
  <c r="G7" i="2"/>
  <c r="G109" i="2" s="1"/>
  <c r="H40" i="2"/>
  <c r="H142" i="2" s="1"/>
  <c r="H29" i="2"/>
  <c r="H131" i="2" s="1"/>
  <c r="H19" i="2"/>
  <c r="H121" i="2" s="1"/>
  <c r="H8" i="2"/>
  <c r="H110" i="2" s="1"/>
  <c r="I41" i="2"/>
  <c r="I143" i="2" s="1"/>
  <c r="I31" i="2"/>
  <c r="I133" i="2" s="1"/>
  <c r="I20" i="2"/>
  <c r="I122" i="2" s="1"/>
  <c r="I9" i="2"/>
  <c r="I111" i="2" s="1"/>
  <c r="J43" i="2"/>
  <c r="J145" i="2" s="1"/>
  <c r="J32" i="2"/>
  <c r="J134" i="2" s="1"/>
  <c r="J20" i="2"/>
  <c r="J122" i="2" s="1"/>
  <c r="K48" i="2"/>
  <c r="K150" i="2" s="1"/>
  <c r="K32" i="2"/>
  <c r="K134" i="2" s="1"/>
  <c r="L36" i="2"/>
  <c r="L138" i="2" s="1"/>
  <c r="M16" i="2"/>
  <c r="M118" i="2" s="1"/>
  <c r="O40" i="2"/>
  <c r="O142" i="2" s="1"/>
  <c r="P11" i="2"/>
  <c r="P113" i="2" s="1"/>
  <c r="R14" i="2"/>
  <c r="R116" i="2" s="1"/>
  <c r="U49" i="2"/>
  <c r="U151" i="2" s="1"/>
  <c r="W9" i="2"/>
  <c r="W111" i="2" s="1"/>
  <c r="AB14" i="2"/>
  <c r="AB116" i="2" s="1"/>
  <c r="AH22" i="2"/>
  <c r="AH124" i="2" s="1"/>
  <c r="AN30" i="2"/>
  <c r="AN132" i="2" s="1"/>
  <c r="AT38" i="2"/>
  <c r="AT140" i="2" s="1"/>
</calcChain>
</file>

<file path=xl/sharedStrings.xml><?xml version="1.0" encoding="utf-8"?>
<sst xmlns="http://schemas.openxmlformats.org/spreadsheetml/2006/main" count="901" uniqueCount="235">
  <si>
    <t>A01_02</t>
  </si>
  <si>
    <t>A03</t>
  </si>
  <si>
    <t>B05_06</t>
  </si>
  <si>
    <t>B07_08</t>
  </si>
  <si>
    <t>B09</t>
  </si>
  <si>
    <t>C10T12</t>
  </si>
  <si>
    <t>C13T15</t>
  </si>
  <si>
    <t>C16</t>
  </si>
  <si>
    <t>C17_18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</si>
  <si>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</si>
  <si>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</si>
  <si>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</si>
  <si>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</si>
  <si>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</si>
  <si>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</si>
  <si>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</si>
  <si>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</si>
  <si>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</si>
  <si>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</si>
  <si>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</si>
  <si>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</si>
  <si>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C31T33</t>
  </si>
  <si>
    <t>D</t>
  </si>
  <si>
    <t>E</t>
  </si>
  <si>
    <t>F</t>
  </si>
  <si>
    <t>G</t>
  </si>
  <si>
    <t>H49</t>
  </si>
  <si>
    <t>H50</t>
  </si>
  <si>
    <t>H51</t>
  </si>
  <si>
    <t>H52</t>
  </si>
  <si>
    <t>H53</t>
  </si>
  <si>
    <t>I</t>
  </si>
  <si>
    <t>J58T60</t>
  </si>
  <si>
    <t>J61</t>
  </si>
  <si>
    <t>J62_63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</si>
  <si>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</si>
  <si>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</si>
  <si>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</si>
  <si>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</si>
  <si>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</si>
  <si>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</si>
  <si>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</si>
  <si>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</si>
  <si>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</si>
  <si>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</si>
  <si>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HFCE</t>
  </si>
  <si>
    <t>NPISH</t>
  </si>
  <si>
    <t>GGFC</t>
  </si>
  <si>
    <t>GFCF</t>
  </si>
  <si>
    <t>INVNT</t>
  </si>
  <si>
    <t>DPABR</t>
  </si>
  <si>
    <t>CONS_NONRES</t>
  </si>
  <si>
    <t>EXPO</t>
  </si>
  <si>
    <t>IMPO</t>
  </si>
  <si>
    <t>TTL_A01_02</t>
  </si>
  <si>
    <t>TTL_A03</t>
  </si>
  <si>
    <t>TTL_B05_06</t>
  </si>
  <si>
    <t>TTL_B07_08</t>
  </si>
  <si>
    <t>TTL_B09</t>
  </si>
  <si>
    <t>TTL_C10T12</t>
  </si>
  <si>
    <t>TTL_C13T15</t>
  </si>
  <si>
    <t>TTL_C16</t>
  </si>
  <si>
    <t>TTL_C17_18</t>
  </si>
  <si>
    <t>TTL_C19</t>
  </si>
  <si>
    <t>TTL_C20</t>
  </si>
  <si>
    <t>TTL_C21</t>
  </si>
  <si>
    <t>TTL_C22</t>
  </si>
  <si>
    <t>TTL_C23</t>
  </si>
  <si>
    <t>TTL_C24</t>
  </si>
  <si>
    <t>TTL_C25</t>
  </si>
  <si>
    <t>TTL_C26</t>
  </si>
  <si>
    <t>TTL_C27</t>
  </si>
  <si>
    <t>TTL_C28</t>
  </si>
  <si>
    <t>TTL_C29</t>
  </si>
  <si>
    <t>TTL_C30</t>
  </si>
  <si>
    <t>TTL_C31T33</t>
  </si>
  <si>
    <t>TTL_D</t>
  </si>
  <si>
    <t>TTL_E</t>
  </si>
  <si>
    <t>TTL_F</t>
  </si>
  <si>
    <t>TTL_G</t>
  </si>
  <si>
    <t>TTL_H49</t>
  </si>
  <si>
    <t>TTL_H50</t>
  </si>
  <si>
    <t>TTL_H51</t>
  </si>
  <si>
    <t>TTL_H52</t>
  </si>
  <si>
    <t>TTL_H53</t>
  </si>
  <si>
    <t>TTL_I</t>
  </si>
  <si>
    <t>TTL_J58T60</t>
  </si>
  <si>
    <t>TTL_J61</t>
  </si>
  <si>
    <t>TTL_J62_63</t>
  </si>
  <si>
    <t>TTL_K</t>
  </si>
  <si>
    <t>TTL_L</t>
  </si>
  <si>
    <t>TTL_M</t>
  </si>
  <si>
    <t>TTL_N</t>
  </si>
  <si>
    <t>TTL_O</t>
  </si>
  <si>
    <t>TTL_P</t>
  </si>
  <si>
    <t>TTL_Q</t>
  </si>
  <si>
    <t>TTL_R</t>
  </si>
  <si>
    <t>TTL_S</t>
  </si>
  <si>
    <t>TTL_T</t>
  </si>
  <si>
    <t>TXS_IMP_FNL</t>
  </si>
  <si>
    <t>TXS_INT_FNL</t>
  </si>
  <si>
    <t>TTL_INT_FNL</t>
  </si>
  <si>
    <t>VALU</t>
  </si>
  <si>
    <t>OUTPUT</t>
  </si>
  <si>
    <t>Final Demand (F)</t>
  </si>
  <si>
    <t>Output (X)</t>
  </si>
  <si>
    <t>INDUSTRIES</t>
  </si>
  <si>
    <t>Primary</t>
  </si>
  <si>
    <t>Secondary</t>
  </si>
  <si>
    <t>Tertiary</t>
  </si>
  <si>
    <t>3X3 MATRIX</t>
  </si>
  <si>
    <t>TOTAL</t>
  </si>
  <si>
    <t>% of OUTPUT</t>
  </si>
  <si>
    <t>% DISTRIBUTION</t>
  </si>
  <si>
    <t>CONSUMPTION</t>
  </si>
  <si>
    <t>INVESTMENT</t>
  </si>
  <si>
    <t>EXTERNAL DEMAND ADJUSTMENT</t>
  </si>
  <si>
    <t>INTERMEDIATE DEMAND</t>
  </si>
  <si>
    <t>TECHNOLOGY MATRIX (A)</t>
  </si>
  <si>
    <t>IDENTITY MATRIX (I)</t>
  </si>
  <si>
    <t>(I - A) MATRIX</t>
  </si>
  <si>
    <t>LEONTIEF MATRIX  L = (I - A)^-1</t>
  </si>
  <si>
    <t>Code</t>
  </si>
  <si>
    <t>Economic activities</t>
  </si>
  <si>
    <t>A01</t>
  </si>
  <si>
    <t>Agriculture and hunting</t>
  </si>
  <si>
    <t>A02</t>
  </si>
  <si>
    <t>Forestry and logging</t>
  </si>
  <si>
    <t>Fishing and aquaculture</t>
  </si>
  <si>
    <t>B05</t>
  </si>
  <si>
    <t>Mining of coal and lignite</t>
  </si>
  <si>
    <t>B06</t>
  </si>
  <si>
    <t>Extraction of crude petroleum and natural gas</t>
  </si>
  <si>
    <t>B07</t>
  </si>
  <si>
    <t>Mining of metal ores</t>
  </si>
  <si>
    <t>B08</t>
  </si>
  <si>
    <t>Other mining and quarrying</t>
  </si>
  <si>
    <t>Mining support service activities</t>
  </si>
  <si>
    <t>Manufacture of food products; beverages and tobacco products</t>
  </si>
  <si>
    <t>Manufacture of textiles, wearing apparel, leather and related products</t>
  </si>
  <si>
    <t>Manufacture of wood and of products of wood and cork</t>
  </si>
  <si>
    <t>Manufacture of paper and paper products; 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</si>
  <si>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</si>
  <si>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</si>
  <si>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</si>
  <si>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</si>
  <si>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</si>
  <si>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C24A</t>
  </si>
  <si>
    <t>Manufacture of basic iron and steel</t>
  </si>
  <si>
    <t>C24B</t>
  </si>
  <si>
    <t>Manufacture of basic precious and other non-ferrous metals</t>
  </si>
  <si>
    <t>Fabricated metal products</t>
  </si>
  <si>
    <t>Computer, electronic and optical equipment</t>
  </si>
  <si>
    <t>Electrical equipment</t>
  </si>
  <si>
    <t xml:space="preserve">Machinery and equipment, nec </t>
  </si>
  <si>
    <t>Motor vehicles, trailers and semi-trailers</t>
  </si>
  <si>
    <t>C301</t>
  </si>
  <si>
    <t>Building of ships and boats</t>
  </si>
  <si>
    <t>C302T309</t>
  </si>
  <si>
    <t>Manufacture of other transport equipment</t>
  </si>
  <si>
    <t>Manufacturing nec; repair and installation of machinery and equipment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</si>
  <si>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</si>
  <si>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</si>
  <si>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</si>
  <si>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</si>
  <si>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</si>
  <si>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</si>
  <si>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</si>
  <si>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</si>
  <si>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</si>
  <si>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</si>
  <si>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Publishing, audiovisual and broadcasting activities</t>
  </si>
  <si>
    <t>Telecommunications</t>
  </si>
  <si>
    <t>IT and other information services</t>
  </si>
  <si>
    <t>Financial and insurance activities</t>
  </si>
  <si>
    <t>Real estate activities</t>
  </si>
  <si>
    <t>Professional, scientific and technical activities</t>
  </si>
  <si>
    <t>Administrative and support services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</si>
  <si>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</si>
  <si>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</si>
  <si>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</si>
  <si>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</si>
  <si>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</si>
  <si>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</si>
  <si>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TOTAL  OUTPUT</t>
  </si>
  <si>
    <t xml:space="preserve">OUTPUT </t>
  </si>
  <si>
    <t>INPUT</t>
  </si>
  <si>
    <t>SECTORAL ANALYSIS (2008)</t>
  </si>
  <si>
    <t>SECTORAL ANALYSIS (2009)</t>
  </si>
  <si>
    <t>OUTPUT (2008)</t>
  </si>
  <si>
    <t>OUTPUT (2009)</t>
  </si>
  <si>
    <t>SECTOR</t>
  </si>
  <si>
    <t>Growth%</t>
  </si>
  <si>
    <t>SECTORAL COMPARISON (2008 vs 2009)</t>
  </si>
  <si>
    <t>OUTPUT COMPARISON</t>
  </si>
  <si>
    <t>2008 Output</t>
  </si>
  <si>
    <t>2009 Output</t>
  </si>
  <si>
    <t>2008 Share (%)</t>
  </si>
  <si>
    <t>2009 Share (%)</t>
  </si>
  <si>
    <t>% Point  Difference</t>
  </si>
  <si>
    <t>GROWTH %</t>
  </si>
  <si>
    <t>Bottom 5 industries</t>
  </si>
  <si>
    <t xml:space="preserve">Top 5 industries </t>
  </si>
  <si>
    <t>Rank (2008)</t>
  </si>
  <si>
    <t>Sector Name</t>
  </si>
  <si>
    <t>Total Output (2008)</t>
  </si>
  <si>
    <t>Sector Group</t>
  </si>
  <si>
    <t>Description (NACE Codes)</t>
  </si>
  <si>
    <t>Output Change (2008 → 2009)</t>
  </si>
  <si>
    <t>Activities of households as employers</t>
  </si>
  <si>
    <t>TOP 5 INDUSTRIES</t>
  </si>
  <si>
    <t>Wholesale and Retail Trade</t>
  </si>
  <si>
    <t>Manufacture of Motor Vehicles, Trailers and Semi-trailers</t>
  </si>
  <si>
    <t>Manufacture of Computer, Electronic and Optical Products</t>
  </si>
  <si>
    <t>Real Estate Activities</t>
  </si>
  <si>
    <t>Total Output (2009)</t>
  </si>
  <si>
    <t>BOTTOM 5 INDUSTRIES</t>
  </si>
  <si>
    <t>OUTPUT MULTIPLIERS</t>
  </si>
  <si>
    <t>Multiplier 2008</t>
  </si>
  <si>
    <t>Multiplier 2009</t>
  </si>
  <si>
    <t>Change (2009 - 2008)</t>
  </si>
  <si>
    <t>SECTORAL INTERDEPENDENCY</t>
  </si>
  <si>
    <t>% OF OUTPUT</t>
  </si>
  <si>
    <t>OUTPUT/GDP</t>
  </si>
  <si>
    <t>Industries</t>
  </si>
  <si>
    <t>Total Output</t>
  </si>
  <si>
    <t>Top 5 Industries</t>
  </si>
  <si>
    <t>Bottom 5 Industries</t>
  </si>
  <si>
    <t>output(X)</t>
  </si>
  <si>
    <t>Final Demand(F)</t>
  </si>
  <si>
    <t>LEONTIEF MATRIX L=(I-A)^-1</t>
  </si>
  <si>
    <t>(I-A)  MATRIX</t>
  </si>
  <si>
    <t>IDENTITY MATRIX(I)</t>
  </si>
  <si>
    <t>TECHNOLOGY MATRIX(A)</t>
  </si>
  <si>
    <t>HUNGARY 2008-2009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</si>
</sst>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%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48235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8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4" fillId="0" borderId="1" applyNumberFormat="0" applyFill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4" applyNumberFormat="0" applyAlignment="0" applyProtection="0"/>
    <xf numFmtId="0" fontId="31" fillId="6" borderId="5" applyNumberFormat="0" applyAlignment="0" applyProtection="0"/>
    <xf numFmtId="0" fontId="32" fillId="6" borderId="4" applyNumberFormat="0" applyAlignment="0" applyProtection="0"/>
    <xf numFmtId="0" fontId="33" fillId="0" borderId="6" applyNumberFormat="0" applyFill="0" applyAlignment="0" applyProtection="0"/>
    <xf numFmtId="0" fontId="34" fillId="7" borderId="7" applyNumberFormat="0" applyAlignment="0" applyProtection="0"/>
    <xf numFmtId="0" fontId="35" fillId="0" borderId="0" applyNumberFormat="0" applyFill="0" applyBorder="0" applyAlignment="0" applyProtection="0"/>
    <xf numFmtId="0" fontId="22" fillId="8" borderId="8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38" fillId="32" borderId="0" applyNumberFormat="0" applyBorder="0" applyAlignment="0" applyProtection="0"/>
    <xf numFmtId="0" fontId="1" fillId="0" borderId="0"/>
  </cellStyleXfs>
  <cellXfs count="83">
    <xf numFmtId="0" fontId="0" fillId="0" borderId="0" xfId="0"/>
    <xf numFmtId="0" fontId="0" fillId="41" borderId="10" xfId="0" applyFill="1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0" borderId="10" xfId="0" applyBorder="1"/>
    <xf numFmtId="0" fontId="0" fillId="45" borderId="10" xfId="0" applyFill="1" applyBorder="1"/>
    <xf numFmtId="10" fontId="0" fillId="45" borderId="10" xfId="0" applyNumberFormat="1" applyFill="1" applyBorder="1"/>
    <xf numFmtId="0" fontId="19" fillId="42" borderId="10" xfId="0" applyFont="1" applyFill="1" applyBorder="1"/>
    <xf numFmtId="0" fontId="13" fillId="47" borderId="10" xfId="0" applyFont="1" applyFill="1" applyBorder="1"/>
    <xf numFmtId="0" fontId="0" fillId="48" borderId="10" xfId="0" applyFill="1" applyBorder="1"/>
    <xf numFmtId="0" fontId="0" fillId="50" borderId="10" xfId="0" applyFill="1" applyBorder="1"/>
    <xf numFmtId="0" fontId="0" fillId="52" borderId="10" xfId="0" applyFill="1" applyBorder="1"/>
    <xf numFmtId="0" fontId="13" fillId="44" borderId="10" xfId="0" applyFont="1" applyFill="1" applyBorder="1"/>
    <xf numFmtId="0" fontId="13" fillId="43" borderId="10" xfId="0" applyFont="1" applyFill="1" applyBorder="1"/>
    <xf numFmtId="0" fontId="13" fillId="43" borderId="10" xfId="0" applyFont="1" applyFill="1" applyBorder="1" applyAlignment="1">
      <alignment horizontal="center"/>
    </xf>
    <xf numFmtId="0" fontId="0" fillId="53" borderId="10" xfId="0" applyFill="1" applyBorder="1" applyAlignment="1">
      <alignment horizontal="right"/>
    </xf>
    <xf numFmtId="10" fontId="0" fillId="53" borderId="10" xfId="0" applyNumberFormat="1" applyFill="1" applyBorder="1" applyAlignment="1">
      <alignment horizontal="right"/>
    </xf>
    <xf numFmtId="0" fontId="0" fillId="54" borderId="10" xfId="0" applyFill="1" applyBorder="1"/>
    <xf numFmtId="0" fontId="0" fillId="44" borderId="10" xfId="0" applyFill="1" applyBorder="1"/>
    <xf numFmtId="0" fontId="40" fillId="56" borderId="10" xfId="0" applyFont="1" applyFill="1" applyBorder="1"/>
    <xf numFmtId="0" fontId="39" fillId="0" borderId="10" xfId="0" applyFont="1" applyBorder="1"/>
    <xf numFmtId="0" fontId="41" fillId="55" borderId="10" xfId="0" applyFont="1" applyFill="1" applyBorder="1"/>
    <xf numFmtId="0" fontId="17" fillId="47" borderId="10" xfId="0" applyFont="1" applyFill="1" applyBorder="1"/>
    <xf numFmtId="164" fontId="0" fillId="0" borderId="0" xfId="0" applyNumberFormat="1"/>
    <xf numFmtId="0" fontId="39" fillId="35" borderId="10" xfId="0" applyFont="1" applyFill="1" applyBorder="1"/>
    <xf numFmtId="10" fontId="0" fillId="35" borderId="10" xfId="0" applyNumberFormat="1" applyFill="1" applyBorder="1"/>
    <xf numFmtId="0" fontId="46" fillId="38" borderId="10" xfId="0" applyFont="1" applyFill="1" applyBorder="1"/>
    <xf numFmtId="0" fontId="42" fillId="35" borderId="10" xfId="0" applyFont="1" applyFill="1" applyBorder="1"/>
    <xf numFmtId="4" fontId="42" fillId="35" borderId="10" xfId="0" applyNumberFormat="1" applyFont="1" applyFill="1" applyBorder="1"/>
    <xf numFmtId="0" fontId="45" fillId="35" borderId="10" xfId="0" applyFont="1" applyFill="1" applyBorder="1"/>
    <xf numFmtId="0" fontId="0" fillId="0" borderId="13" xfId="0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46" fillId="47" borderId="10" xfId="0" applyFont="1" applyFill="1" applyBorder="1"/>
    <xf numFmtId="10" fontId="0" fillId="0" borderId="10" xfId="0" applyNumberFormat="1" applyBorder="1"/>
    <xf numFmtId="0" fontId="13" fillId="43" borderId="14" xfId="0" applyFont="1" applyFill="1" applyBorder="1"/>
    <xf numFmtId="0" fontId="0" fillId="58" borderId="0" xfId="0" applyFill="1"/>
    <xf numFmtId="0" fontId="0" fillId="54" borderId="0" xfId="0" applyFill="1"/>
    <xf numFmtId="0" fontId="16" fillId="43" borderId="10" xfId="0" applyFont="1" applyFill="1" applyBorder="1"/>
    <xf numFmtId="11" fontId="0" fillId="41" borderId="10" xfId="0" applyNumberFormat="1" applyFill="1" applyBorder="1"/>
    <xf numFmtId="0" fontId="0" fillId="59" borderId="10" xfId="0" applyFill="1" applyBorder="1"/>
    <xf numFmtId="0" fontId="18" fillId="60" borderId="0" xfId="0" applyFont="1" applyFill="1"/>
    <xf numFmtId="0" fontId="17" fillId="0" borderId="0" xfId="0" applyFont="1"/>
    <xf numFmtId="0" fontId="18" fillId="42" borderId="10" xfId="0" applyFont="1" applyFill="1" applyBorder="1" applyAlignment="1">
      <alignment horizontal="center"/>
    </xf>
    <xf numFmtId="0" fontId="18" fillId="42" borderId="20" xfId="0" applyFont="1" applyFill="1" applyBorder="1" applyAlignment="1">
      <alignment horizontal="center"/>
    </xf>
    <xf numFmtId="0" fontId="18" fillId="42" borderId="19" xfId="0" applyFont="1" applyFill="1" applyBorder="1" applyAlignment="1">
      <alignment horizontal="center"/>
    </xf>
    <xf numFmtId="0" fontId="18" fillId="42" borderId="18" xfId="0" applyFont="1" applyFill="1" applyBorder="1" applyAlignment="1">
      <alignment horizontal="center"/>
    </xf>
    <xf numFmtId="0" fontId="18" fillId="42" borderId="17" xfId="0" applyFont="1" applyFill="1" applyBorder="1" applyAlignment="1">
      <alignment horizontal="center"/>
    </xf>
    <xf numFmtId="0" fontId="18" fillId="42" borderId="16" xfId="0" applyFont="1" applyFill="1" applyBorder="1" applyAlignment="1">
      <alignment horizontal="center"/>
    </xf>
    <xf numFmtId="0" fontId="18" fillId="42" borderId="15" xfId="0" applyFont="1" applyFill="1" applyBorder="1" applyAlignment="1">
      <alignment horizontal="center"/>
    </xf>
    <xf numFmtId="0" fontId="13" fillId="47" borderId="13" xfId="0" applyFont="1" applyFill="1" applyBorder="1" applyAlignment="1">
      <alignment horizontal="center"/>
    </xf>
    <xf numFmtId="0" fontId="13" fillId="47" borderId="0" xfId="0" applyFont="1" applyFill="1" applyAlignment="1">
      <alignment horizontal="center"/>
    </xf>
    <xf numFmtId="0" fontId="47" fillId="46" borderId="0" xfId="0" applyFont="1" applyFill="1" applyAlignment="1">
      <alignment horizontal="center"/>
    </xf>
    <xf numFmtId="0" fontId="47" fillId="44" borderId="0" xfId="0" applyFont="1" applyFill="1" applyAlignment="1">
      <alignment horizontal="center"/>
    </xf>
    <xf numFmtId="0" fontId="48" fillId="49" borderId="0" xfId="0" applyFont="1" applyFill="1" applyAlignment="1">
      <alignment horizontal="center"/>
    </xf>
    <xf numFmtId="0" fontId="17" fillId="49" borderId="0" xfId="0" applyFont="1" applyFill="1" applyAlignment="1">
      <alignment horizontal="center"/>
    </xf>
    <xf numFmtId="0" fontId="47" fillId="51" borderId="0" xfId="0" applyFont="1" applyFill="1" applyAlignment="1">
      <alignment horizontal="center"/>
    </xf>
    <xf numFmtId="0" fontId="0" fillId="51" borderId="0" xfId="0" applyFill="1" applyAlignment="1">
      <alignment horizontal="center"/>
    </xf>
    <xf numFmtId="0" fontId="14" fillId="42" borderId="10" xfId="0" applyFont="1" applyFill="1" applyBorder="1" applyAlignment="1">
      <alignment horizontal="center"/>
    </xf>
    <xf numFmtId="0" fontId="20" fillId="44" borderId="0" xfId="0" applyFont="1" applyFill="1" applyAlignment="1">
      <alignment horizontal="center"/>
    </xf>
    <xf numFmtId="0" fontId="13" fillId="44" borderId="0" xfId="0" applyFont="1" applyFill="1" applyAlignment="1">
      <alignment horizontal="center"/>
    </xf>
    <xf numFmtId="0" fontId="20" fillId="49" borderId="0" xfId="0" applyFont="1" applyFill="1" applyAlignment="1">
      <alignment horizontal="center"/>
    </xf>
    <xf numFmtId="0" fontId="13" fillId="49" borderId="0" xfId="0" applyFont="1" applyFill="1" applyAlignment="1">
      <alignment horizontal="center"/>
    </xf>
    <xf numFmtId="0" fontId="20" fillId="51" borderId="0" xfId="0" applyFont="1" applyFill="1" applyAlignment="1">
      <alignment horizontal="center"/>
    </xf>
    <xf numFmtId="0" fontId="13" fillId="51" borderId="0" xfId="0" applyFont="1" applyFill="1" applyAlignment="1">
      <alignment horizontal="center"/>
    </xf>
    <xf numFmtId="0" fontId="20" fillId="46" borderId="0" xfId="0" applyFont="1" applyFill="1" applyAlignment="1">
      <alignment horizontal="center"/>
    </xf>
    <xf numFmtId="0" fontId="13" fillId="46" borderId="0" xfId="0" applyFont="1" applyFill="1" applyAlignment="1">
      <alignment horizontal="center"/>
    </xf>
    <xf numFmtId="0" fontId="13" fillId="47" borderId="11" xfId="0" applyFont="1" applyFill="1" applyBorder="1" applyAlignment="1">
      <alignment horizontal="center"/>
    </xf>
    <xf numFmtId="0" fontId="13" fillId="47" borderId="12" xfId="0" applyFont="1" applyFill="1" applyBorder="1" applyAlignment="1">
      <alignment horizontal="center"/>
    </xf>
    <xf numFmtId="0" fontId="44" fillId="57" borderId="0" xfId="0" applyFont="1" applyFill="1" applyAlignment="1">
      <alignment horizontal="center"/>
    </xf>
    <xf numFmtId="0" fontId="43" fillId="38" borderId="0" xfId="0" applyFont="1" applyFill="1" applyAlignment="1">
      <alignment horizontal="center"/>
    </xf>
    <xf numFmtId="0" fontId="13" fillId="38" borderId="0" xfId="0" applyFont="1" applyFill="1" applyAlignment="1">
      <alignment horizontal="center"/>
    </xf>
    <xf numFmtId="0" fontId="43" fillId="44" borderId="0" xfId="0" applyFont="1" applyFill="1" applyAlignment="1">
      <alignment horizontal="center"/>
    </xf>
    <xf numFmtId="0" fontId="44" fillId="38" borderId="0" xfId="0" applyFont="1" applyFill="1" applyAlignment="1">
      <alignment horizontal="center"/>
    </xf>
    <xf numFmtId="0" fontId="21" fillId="44" borderId="10" xfId="0" applyFont="1" applyFill="1" applyBorder="1" applyAlignment="1">
      <alignment horizontal="center"/>
    </xf>
    <xf numFmtId="0" fontId="13" fillId="44" borderId="10" xfId="0" applyFont="1" applyFill="1" applyBorder="1" applyAlignment="1">
      <alignment horizontal="center"/>
    </xf>
    <xf numFmtId="0" fontId="49" fillId="47" borderId="0" xfId="0" applyFont="1" applyFill="1" applyAlignment="1">
      <alignment horizontal="center"/>
    </xf>
    <xf numFmtId="0" fontId="17" fillId="47" borderId="0" xfId="0" applyFont="1" applyFill="1" applyAlignment="1">
      <alignment horizontal="center"/>
    </xf>
  </cellXfs>
  <cellStyles count="85">
    <cellStyle name="20% - Accent1" xfId="19" builtinId="30" customBuiltin="1"/>
    <cellStyle name="20% - Accent1 2" xfId="61" xr:uid="{D607AB77-DAB1-4797-9392-60789B3C61A5}"/>
    <cellStyle name="20% - Accent2" xfId="23" builtinId="34" customBuiltin="1"/>
    <cellStyle name="20% - Accent2 2" xfId="65" xr:uid="{92829D55-EF1E-48A6-A53E-1CA95AAF9E43}"/>
    <cellStyle name="20% - Accent3" xfId="27" builtinId="38" customBuiltin="1"/>
    <cellStyle name="20% - Accent3 2" xfId="69" xr:uid="{9503A4B3-F764-4D8C-8FA0-732DF922B56A}"/>
    <cellStyle name="20% - Accent4" xfId="31" builtinId="42" customBuiltin="1"/>
    <cellStyle name="20% - Accent4 2" xfId="73" xr:uid="{7341709F-54DE-4975-A5C9-15998EC5C562}"/>
    <cellStyle name="20% - Accent5" xfId="35" builtinId="46" customBuiltin="1"/>
    <cellStyle name="20% - Accent5 2" xfId="77" xr:uid="{96E39AD9-4B70-4F95-AF61-0FE59C092BEA}"/>
    <cellStyle name="20% - Accent6" xfId="39" builtinId="50" customBuiltin="1"/>
    <cellStyle name="20% - Accent6 2" xfId="81" xr:uid="{D3A8BCA4-A5A8-4C6C-8A3B-EDDA64C06C77}"/>
    <cellStyle name="40% - Accent1" xfId="20" builtinId="31" customBuiltin="1"/>
    <cellStyle name="40% - Accent1 2" xfId="62" xr:uid="{06955F55-480F-4AF6-94B7-E93828DBB44B}"/>
    <cellStyle name="40% - Accent2" xfId="24" builtinId="35" customBuiltin="1"/>
    <cellStyle name="40% - Accent2 2" xfId="66" xr:uid="{2C597C53-9C6C-4683-B90D-7E106B5199D9}"/>
    <cellStyle name="40% - Accent3" xfId="28" builtinId="39" customBuiltin="1"/>
    <cellStyle name="40% - Accent3 2" xfId="70" xr:uid="{D928DAB4-3ECB-4044-BD96-07C625E1D9F6}"/>
    <cellStyle name="40% - Accent4" xfId="32" builtinId="43" customBuiltin="1"/>
    <cellStyle name="40% - Accent4 2" xfId="74" xr:uid="{3FB57A7B-77B8-473F-9951-618DA4161C29}"/>
    <cellStyle name="40% - Accent5" xfId="36" builtinId="47" customBuiltin="1"/>
    <cellStyle name="40% - Accent5 2" xfId="78" xr:uid="{E92D5BA5-E15D-4609-AC0B-D877FD67FEC2}"/>
    <cellStyle name="40% - Accent6" xfId="40" builtinId="51" customBuiltin="1"/>
    <cellStyle name="40% - Accent6 2" xfId="82" xr:uid="{192DA933-F5B0-4DE8-BC8E-428FE027F7A9}"/>
    <cellStyle name="60% - Accent1" xfId="21" builtinId="32" customBuiltin="1"/>
    <cellStyle name="60% - Accent1 2" xfId="63" xr:uid="{4F159242-E40D-4430-B84D-0B8E862216C2}"/>
    <cellStyle name="60% - Accent2" xfId="25" builtinId="36" customBuiltin="1"/>
    <cellStyle name="60% - Accent2 2" xfId="67" xr:uid="{9F6335BE-3356-4B22-96D5-CEBFFB04201B}"/>
    <cellStyle name="60% - Accent3" xfId="29" builtinId="40" customBuiltin="1"/>
    <cellStyle name="60% - Accent3 2" xfId="71" xr:uid="{9D502653-5566-494F-A95E-72FAF2105D12}"/>
    <cellStyle name="60% - Accent4" xfId="33" builtinId="44" customBuiltin="1"/>
    <cellStyle name="60% - Accent4 2" xfId="75" xr:uid="{59A9C186-0418-4434-BEEC-171F542746AC}"/>
    <cellStyle name="60% - Accent5" xfId="37" builtinId="48" customBuiltin="1"/>
    <cellStyle name="60% - Accent5 2" xfId="79" xr:uid="{E0674F05-7559-49DF-AB66-4972DA0919C8}"/>
    <cellStyle name="60% - Accent6" xfId="41" builtinId="52" customBuiltin="1"/>
    <cellStyle name="60% - Accent6 2" xfId="83" xr:uid="{3AB24895-211B-40E4-8D39-0952FA3C1371}"/>
    <cellStyle name="Accent1" xfId="18" builtinId="29" customBuiltin="1"/>
    <cellStyle name="Accent1 2" xfId="60" xr:uid="{C220BA1B-2285-42BD-A930-6B44FA481FF6}"/>
    <cellStyle name="Accent2" xfId="22" builtinId="33" customBuiltin="1"/>
    <cellStyle name="Accent2 2" xfId="64" xr:uid="{C9EA4B96-9B97-43FC-A1D4-5640D865E357}"/>
    <cellStyle name="Accent3" xfId="26" builtinId="37" customBuiltin="1"/>
    <cellStyle name="Accent3 2" xfId="68" xr:uid="{3CCDC2E9-DF52-4A13-B09D-AC7D28DEA3A0}"/>
    <cellStyle name="Accent4" xfId="30" builtinId="41" customBuiltin="1"/>
    <cellStyle name="Accent4 2" xfId="72" xr:uid="{E47532FC-38CD-4D57-9DA2-6C838B2C22DE}"/>
    <cellStyle name="Accent5" xfId="34" builtinId="45" customBuiltin="1"/>
    <cellStyle name="Accent5 2" xfId="76" xr:uid="{B48ACDBA-B736-4BCA-A320-0B6DEBD24CEE}"/>
    <cellStyle name="Accent6" xfId="38" builtinId="49" customBuiltin="1"/>
    <cellStyle name="Accent6 2" xfId="80" xr:uid="{C3D87821-A340-44A4-ADA0-6EB0393DA38E}"/>
    <cellStyle name="Bad" xfId="7" builtinId="27" customBuiltin="1"/>
    <cellStyle name="Bad 2" xfId="49" xr:uid="{37CD3D86-1C87-4A0E-9B48-2DBACD90B7BE}"/>
    <cellStyle name="Calculation" xfId="11" builtinId="22" customBuiltin="1"/>
    <cellStyle name="Calculation 2" xfId="53" xr:uid="{492BB0BC-A678-4402-A2D8-B0C7B550186A}"/>
    <cellStyle name="Check Cell" xfId="13" builtinId="23" customBuiltin="1"/>
    <cellStyle name="Check Cell 2" xfId="55" xr:uid="{69430233-C1BF-4C73-B507-91EFB965D529}"/>
    <cellStyle name="Explanatory Text" xfId="16" builtinId="53" customBuiltin="1"/>
    <cellStyle name="Explanatory Text 2" xfId="58" xr:uid="{ECF6EDBE-BE32-4146-8D4F-CDA51E8867BD}"/>
    <cellStyle name="Good" xfId="6" builtinId="26" customBuiltin="1"/>
    <cellStyle name="Good 2" xfId="48" xr:uid="{BDBF29AF-799C-4B79-A096-E29440E2DE61}"/>
    <cellStyle name="Heading 1" xfId="2" builtinId="16" customBuiltin="1"/>
    <cellStyle name="Heading 1 2" xfId="44" xr:uid="{65A1DE08-3067-499A-B041-579B9C7BB74D}"/>
    <cellStyle name="Heading 2" xfId="3" builtinId="17" customBuiltin="1"/>
    <cellStyle name="Heading 2 2" xfId="45" xr:uid="{B4DA49E6-8611-42DF-91E5-629CFF3687DB}"/>
    <cellStyle name="Heading 3" xfId="4" builtinId="18" customBuiltin="1"/>
    <cellStyle name="Heading 3 2" xfId="46" xr:uid="{7140D0A4-2880-42BE-A48D-764D565B44CD}"/>
    <cellStyle name="Heading 4" xfId="5" builtinId="19" customBuiltin="1"/>
    <cellStyle name="Heading 4 2" xfId="47" xr:uid="{6AD5F176-2A93-4E34-ABDD-0D6BBB18EFF9}"/>
    <cellStyle name="Input" xfId="9" builtinId="20" customBuiltin="1"/>
    <cellStyle name="Input 2" xfId="51" xr:uid="{4B1D4FD4-D326-49CD-99CE-F4A3512CBB3F}"/>
    <cellStyle name="Linked Cell" xfId="12" builtinId="24" customBuiltin="1"/>
    <cellStyle name="Linked Cell 2" xfId="54" xr:uid="{13F0028F-673D-4079-83ED-44814588AEC8}"/>
    <cellStyle name="Neutral" xfId="8" builtinId="28" customBuiltin="1"/>
    <cellStyle name="Neutral 2" xfId="50" xr:uid="{9F8BB232-3353-4966-AAD2-ED95645C30C1}"/>
    <cellStyle name="Normal" xfId="0" builtinId="0"/>
    <cellStyle name="Normal 2" xfId="42" xr:uid="{4A272B40-96B8-44D8-A6D2-8B580585CD5D}"/>
    <cellStyle name="Normal 4" xfId="84" xr:uid="{DEFF7144-70B1-4EA7-9FE1-E18A6F046A73}"/>
    <cellStyle name="Note" xfId="15" builtinId="10" customBuiltin="1"/>
    <cellStyle name="Note 2" xfId="57" xr:uid="{A77B08AE-DD62-4119-B193-EB2AA08179E5}"/>
    <cellStyle name="Output" xfId="10" builtinId="21" customBuiltin="1"/>
    <cellStyle name="Output 2" xfId="52" xr:uid="{E08770AA-2580-4B15-A470-6576C8A63A7A}"/>
    <cellStyle name="Title" xfId="1" builtinId="15" customBuiltin="1"/>
    <cellStyle name="Title 2" xfId="43" xr:uid="{25B03B14-0D94-47CA-86DC-E21A11F88936}"/>
    <cellStyle name="Total" xfId="17" builtinId="25" customBuiltin="1"/>
    <cellStyle name="Total 2" xfId="59" xr:uid="{C08822B0-195D-43C0-956D-C262CBB56077}"/>
    <cellStyle name="Warning Text" xfId="14" builtinId="11" customBuiltin="1"/>
    <cellStyle name="Warning Text 2" xfId="56" xr:uid="{0AFEE32A-841D-42BC-94F0-3505FB54FCA7}"/>
  </cellStyles>
  <dxfs count="5">
    <dxf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9"/>
        </patternFill>
      </fill>
    </dxf>
    <dxf>
      <font>
        <color theme="1"/>
      </font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FF339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%</a:t>
            </a:r>
            <a:r>
              <a:rPr lang="en-IN" baseline="0"/>
              <a:t> DISTRIBUTION 2008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810357038703495"/>
          <c:y val="0.14652270439879228"/>
          <c:w val="0.45084647752364287"/>
          <c:h val="0.80084571665383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96-42BF-ACB8-00079ED05E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96-42BF-ACB8-00079ED05E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96-42BF-ACB8-00079ED05E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96-42BF-ACB8-00079ED05E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HUNGARY2008ttl!$K$63:$K$66</c:f>
              <c:strCache>
                <c:ptCount val="4"/>
                <c:pt idx="0">
                  <c:v>CONSUMPTION</c:v>
                </c:pt>
                <c:pt idx="1">
                  <c:v>INVESTMENT</c:v>
                </c:pt>
                <c:pt idx="2">
                  <c:v>EXTERNAL DEMAND ADJUSTMENT</c:v>
                </c:pt>
                <c:pt idx="3">
                  <c:v>INTERMEDIATE DEMAND</c:v>
                </c:pt>
              </c:strCache>
            </c:strRef>
          </c:cat>
          <c:val>
            <c:numRef>
              <c:f>HUNGARY2008ttl!$L$63:$L$66</c:f>
              <c:numCache>
                <c:formatCode>General</c:formatCode>
                <c:ptCount val="4"/>
                <c:pt idx="0">
                  <c:v>104073.70000000001</c:v>
                </c:pt>
                <c:pt idx="1">
                  <c:v>40444.899999999994</c:v>
                </c:pt>
                <c:pt idx="2">
                  <c:v>716.09999999997672</c:v>
                </c:pt>
                <c:pt idx="3">
                  <c:v>183275.59999999992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96-42BF-ACB8-00079ED05EB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096-42BF-ACB8-00079ED05E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096-42BF-ACB8-00079ED05E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096-42BF-ACB8-00079ED05E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096-42BF-ACB8-00079ED05E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HUNGARY2008ttl!$K$63:$K$66</c:f>
              <c:strCache>
                <c:ptCount val="4"/>
                <c:pt idx="0">
                  <c:v>CONSUMPTION</c:v>
                </c:pt>
                <c:pt idx="1">
                  <c:v>INVESTMENT</c:v>
                </c:pt>
                <c:pt idx="2">
                  <c:v>EXTERNAL DEMAND ADJUSTMENT</c:v>
                </c:pt>
                <c:pt idx="3">
                  <c:v>INTERMEDIATE DEMAND</c:v>
                </c:pt>
              </c:strCache>
            </c:strRef>
          </c:cat>
          <c:val>
            <c:numRef>
              <c:f>HUNGARY2008ttl!$M$63:$M$66</c:f>
              <c:numCache>
                <c:formatCode>0.00%</c:formatCode>
                <c:ptCount val="4"/>
                <c:pt idx="0">
                  <c:v>0.31680498297922477</c:v>
                </c:pt>
                <c:pt idx="1">
                  <c:v>0.12311607885658378</c:v>
                </c:pt>
                <c:pt idx="2">
                  <c:v>2.1798403276852407E-3</c:v>
                </c:pt>
                <c:pt idx="3">
                  <c:v>0.55789909783650593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096-42BF-ACB8-00079ED05EB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SECTORAL</a:t>
            </a:r>
            <a:r>
              <a:rPr lang="en-IN" baseline="0"/>
              <a:t> DISTRIBUTION 2008</a:t>
            </a:r>
          </a:p>
          <a:p>
            <a:pPr>
              <a:defRPr/>
            </a:pPr>
            <a:r>
              <a:rPr lang="en-IN" baseline="0"/>
              <a:t>(AS % OF INTERMEDIATE DEMAND)</a:t>
            </a:r>
            <a:endParaRPr lang="en-IN"/>
          </a:p>
        </c:rich>
      </c:tx>
      <c:layout>
        <c:manualLayout>
          <c:xMode val="edge"/>
          <c:yMode val="edge"/>
          <c:x val="0.2299784844491004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2A-4BB2-8F48-4204B4ADB85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2A-4BB2-8F48-4204B4ADB853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2A-4BB2-8F48-4204B4ADB85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HUNGARY2008ttl!$B$59:$B$61</c:f>
              <c:strCache>
                <c:ptCount val="3"/>
                <c:pt idx="0">
                  <c:v>Primary</c:v>
                </c:pt>
                <c:pt idx="1">
                  <c:v>Secondary</c:v>
                </c:pt>
                <c:pt idx="2">
                  <c:v>Tertiary</c:v>
                </c:pt>
              </c:strCache>
            </c:strRef>
          </c:cat>
          <c:val>
            <c:numRef>
              <c:f>HUNGARY2008ttl!$F$59:$F$61</c:f>
              <c:numCache>
                <c:formatCode>General</c:formatCode>
                <c:ptCount val="3"/>
                <c:pt idx="0">
                  <c:v>13322.000000000002</c:v>
                </c:pt>
                <c:pt idx="1">
                  <c:v>90455.899999999892</c:v>
                </c:pt>
                <c:pt idx="2">
                  <c:v>79497.70000000007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2A-4BB2-8F48-4204B4ADB85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% DISTRIBUTION 2009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0B-4129-884A-9B38B366BB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0B-4129-884A-9B38B366BB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0B-4129-884A-9B38B366BB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20B-4129-884A-9B38B366BBE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HUNGARY2009ttl!$K$63:$K$66</c:f>
              <c:strCache>
                <c:ptCount val="4"/>
                <c:pt idx="0">
                  <c:v>CONSUMPTION</c:v>
                </c:pt>
                <c:pt idx="1">
                  <c:v>INVESTMENT</c:v>
                </c:pt>
                <c:pt idx="2">
                  <c:v>EXTERNAL DEMAND ADJUSTMENT</c:v>
                </c:pt>
                <c:pt idx="3">
                  <c:v>INTERMEDIATE DEMAND</c:v>
                </c:pt>
              </c:strCache>
            </c:strRef>
          </c:cat>
          <c:val>
            <c:numRef>
              <c:f>HUNGARY2009ttl!$L$63:$L$66</c:f>
              <c:numCache>
                <c:formatCode>General</c:formatCode>
                <c:ptCount val="4"/>
                <c:pt idx="0">
                  <c:v>85867</c:v>
                </c:pt>
                <c:pt idx="1">
                  <c:v>28540</c:v>
                </c:pt>
                <c:pt idx="2">
                  <c:v>3649.4000000000378</c:v>
                </c:pt>
                <c:pt idx="3">
                  <c:v>143935.9000000002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5-48A5-90DC-93F40027428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20B-4129-884A-9B38B366BB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20B-4129-884A-9B38B366BB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20B-4129-884A-9B38B366BB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20B-4129-884A-9B38B366BBE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HUNGARY2009ttl!$K$63:$K$66</c:f>
              <c:strCache>
                <c:ptCount val="4"/>
                <c:pt idx="0">
                  <c:v>CONSUMPTION</c:v>
                </c:pt>
                <c:pt idx="1">
                  <c:v>INVESTMENT</c:v>
                </c:pt>
                <c:pt idx="2">
                  <c:v>EXTERNAL DEMAND ADJUSTMENT</c:v>
                </c:pt>
                <c:pt idx="3">
                  <c:v>INTERMEDIATE DEMAND</c:v>
                </c:pt>
              </c:strCache>
            </c:strRef>
          </c:cat>
          <c:val>
            <c:numRef>
              <c:f>HUNGARY2009ttl!$M$63:$M$66</c:f>
              <c:numCache>
                <c:formatCode>0.00%</c:formatCode>
                <c:ptCount val="4"/>
                <c:pt idx="0">
                  <c:v>0.32774627345918156</c:v>
                </c:pt>
                <c:pt idx="1">
                  <c:v>0.10893449922001515</c:v>
                </c:pt>
                <c:pt idx="2">
                  <c:v>1.3929417009584001E-2</c:v>
                </c:pt>
                <c:pt idx="3">
                  <c:v>0.54938981031121936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5-48A5-90DC-93F4002742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SECTORAL DISTRIBUTION 2009</a:t>
            </a:r>
          </a:p>
          <a:p>
            <a:pPr>
              <a:defRPr/>
            </a:pPr>
            <a:r>
              <a:rPr lang="en-IN"/>
              <a:t>(AS % OF INTERMEDIATE DEMAND)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A2-44B2-A889-9021E65C466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A2-44B2-A889-9021E65C4663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D2-401A-84D0-6DD5FFCC959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HUNGARY2009ttl!$B$59:$B$61</c:f>
              <c:strCache>
                <c:ptCount val="3"/>
                <c:pt idx="0">
                  <c:v>Primary</c:v>
                </c:pt>
                <c:pt idx="1">
                  <c:v>Secondary</c:v>
                </c:pt>
                <c:pt idx="2">
                  <c:v>Tertiary</c:v>
                </c:pt>
              </c:strCache>
            </c:strRef>
          </c:cat>
          <c:val>
            <c:numRef>
              <c:f>HUNGARY2009ttl!$F$59:$F$61</c:f>
              <c:numCache>
                <c:formatCode>General</c:formatCode>
                <c:ptCount val="3"/>
                <c:pt idx="0">
                  <c:v>10359.700000000004</c:v>
                </c:pt>
                <c:pt idx="1">
                  <c:v>67131.800000000017</c:v>
                </c:pt>
                <c:pt idx="2">
                  <c:v>66444.39999999998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2-401A-84D0-6DD5FFCC95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% DISTRIBUTION 2008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62-4797-BEC2-7451A08243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0AB-4E1D-AA41-E4F891FCAC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62-4797-BEC2-7451A08243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E62-4797-BEC2-7451A0824399}"/>
              </c:ext>
            </c:extLst>
          </c:dPt>
          <c:dLbls>
            <c:dLbl>
              <c:idx val="1"/>
              <c:layout>
                <c:manualLayout>
                  <c:x val="-7.1946631671041164E-2"/>
                  <c:y val="-0.1119105424321959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AB-4E1D-AA41-E4F891FCACE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sectoral analysis &amp; comparison'!$A$4:$A$7</c:f>
              <c:strCache>
                <c:ptCount val="4"/>
                <c:pt idx="0">
                  <c:v>CONSUMPTION</c:v>
                </c:pt>
                <c:pt idx="1">
                  <c:v>INVESTMENT</c:v>
                </c:pt>
                <c:pt idx="2">
                  <c:v>EXTERNAL DEMAND ADJUSTMENT</c:v>
                </c:pt>
                <c:pt idx="3">
                  <c:v>INTERMEDIATE DEMAND</c:v>
                </c:pt>
              </c:strCache>
            </c:strRef>
          </c:cat>
          <c:val>
            <c:numRef>
              <c:f>' sectoral analysis &amp; comparison'!$B$4:$B$7</c:f>
              <c:numCache>
                <c:formatCode>General</c:formatCode>
                <c:ptCount val="4"/>
                <c:pt idx="0">
                  <c:v>104073.70000000001</c:v>
                </c:pt>
                <c:pt idx="1">
                  <c:v>40444.899999999994</c:v>
                </c:pt>
                <c:pt idx="2">
                  <c:v>716.09999999997672</c:v>
                </c:pt>
                <c:pt idx="3">
                  <c:v>183275.59999999992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B-4E1D-AA41-E4F891FCACE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E62-4797-BEC2-7451A08243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E62-4797-BEC2-7451A08243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E62-4797-BEC2-7451A08243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E62-4797-BEC2-7451A082439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sectoral analysis &amp; comparison'!$A$4:$A$7</c:f>
              <c:strCache>
                <c:ptCount val="4"/>
                <c:pt idx="0">
                  <c:v>CONSUMPTION</c:v>
                </c:pt>
                <c:pt idx="1">
                  <c:v>INVESTMENT</c:v>
                </c:pt>
                <c:pt idx="2">
                  <c:v>EXTERNAL DEMAND ADJUSTMENT</c:v>
                </c:pt>
                <c:pt idx="3">
                  <c:v>INTERMEDIATE DEMAND</c:v>
                </c:pt>
              </c:strCache>
            </c:strRef>
          </c:cat>
          <c:val>
            <c:numRef>
              <c:f>' sectoral analysis &amp; comparison'!$C$4:$C$7</c:f>
              <c:numCache>
                <c:formatCode>0.00%</c:formatCode>
                <c:ptCount val="4"/>
                <c:pt idx="0">
                  <c:v>0.31680498297922477</c:v>
                </c:pt>
                <c:pt idx="1">
                  <c:v>0.12311607885658378</c:v>
                </c:pt>
                <c:pt idx="2">
                  <c:v>2.1798403276852407E-3</c:v>
                </c:pt>
                <c:pt idx="3">
                  <c:v>0.55789909783650593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B-4E1D-AA41-E4F891FCAC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SECTORAL DISTRIBUTION 2008</a:t>
            </a:r>
          </a:p>
          <a:p>
            <a:pPr>
              <a:defRPr/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(AS % OF INTERMEDIATE DEMAND)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9A-45F0-B3A1-A2309C72C51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9A-45F0-B3A1-A2309C72C515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9A-45F0-B3A1-A2309C72C51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sectoral analysis &amp; comparison'!$A$20:$A$22</c:f>
              <c:strCache>
                <c:ptCount val="3"/>
                <c:pt idx="0">
                  <c:v>Primary</c:v>
                </c:pt>
                <c:pt idx="1">
                  <c:v>Secondary</c:v>
                </c:pt>
                <c:pt idx="2">
                  <c:v>Tertiary</c:v>
                </c:pt>
              </c:strCache>
            </c:strRef>
          </c:cat>
          <c:val>
            <c:numRef>
              <c:f>' sectoral analysis &amp; comparison'!$E$20:$E$22</c:f>
              <c:numCache>
                <c:formatCode>General</c:formatCode>
                <c:ptCount val="3"/>
                <c:pt idx="0">
                  <c:v>13322</c:v>
                </c:pt>
                <c:pt idx="1">
                  <c:v>90455.899999999892</c:v>
                </c:pt>
                <c:pt idx="2">
                  <c:v>79497.70000000007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2-40F5-A8D1-66D5E02BB4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% DISTRIBUTION 2009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B9-45EC-96A6-513EBFFAE7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A51-4374-968E-E74D30CBCD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B9-45EC-96A6-513EBFFAE7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3B9-45EC-96A6-513EBFFAE716}"/>
              </c:ext>
            </c:extLst>
          </c:dPt>
          <c:dLbls>
            <c:dLbl>
              <c:idx val="1"/>
              <c:layout>
                <c:manualLayout>
                  <c:x val="-6.7293307086614282E-2"/>
                  <c:y val="-0.125487022455526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51-4374-968E-E74D30CBCD5F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sectoral analysis &amp; comparison'!$Y$4:$Y$7</c:f>
              <c:strCache>
                <c:ptCount val="4"/>
                <c:pt idx="0">
                  <c:v>CONSUMPTION</c:v>
                </c:pt>
                <c:pt idx="1">
                  <c:v>INVESTMENT</c:v>
                </c:pt>
                <c:pt idx="2">
                  <c:v>EXTERNAL DEMAND ADJUSTMENT</c:v>
                </c:pt>
                <c:pt idx="3">
                  <c:v>INTERMEDIATE DEMAND</c:v>
                </c:pt>
              </c:strCache>
            </c:strRef>
          </c:cat>
          <c:val>
            <c:numRef>
              <c:f>' sectoral analysis &amp; comparison'!$Z$4:$Z$7</c:f>
              <c:numCache>
                <c:formatCode>General</c:formatCode>
                <c:ptCount val="4"/>
                <c:pt idx="0">
                  <c:v>85867</c:v>
                </c:pt>
                <c:pt idx="1">
                  <c:v>28540</c:v>
                </c:pt>
                <c:pt idx="2">
                  <c:v>3649.4000000000378</c:v>
                </c:pt>
                <c:pt idx="3">
                  <c:v>143935.9000000002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1-4374-968E-E74D30CBCD5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3B9-45EC-96A6-513EBFFAE7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3B9-45EC-96A6-513EBFFAE7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3B9-45EC-96A6-513EBFFAE7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3B9-45EC-96A6-513EBFFAE71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sectoral analysis &amp; comparison'!$Y$4:$Y$7</c:f>
              <c:strCache>
                <c:ptCount val="4"/>
                <c:pt idx="0">
                  <c:v>CONSUMPTION</c:v>
                </c:pt>
                <c:pt idx="1">
                  <c:v>INVESTMENT</c:v>
                </c:pt>
                <c:pt idx="2">
                  <c:v>EXTERNAL DEMAND ADJUSTMENT</c:v>
                </c:pt>
                <c:pt idx="3">
                  <c:v>INTERMEDIATE DEMAND</c:v>
                </c:pt>
              </c:strCache>
            </c:strRef>
          </c:cat>
          <c:val>
            <c:numRef>
              <c:f>' sectoral analysis &amp; comparison'!$AA$4:$AA$7</c:f>
              <c:numCache>
                <c:formatCode>0.00%</c:formatCode>
                <c:ptCount val="4"/>
                <c:pt idx="0">
                  <c:v>0.32774627345918156</c:v>
                </c:pt>
                <c:pt idx="1">
                  <c:v>0.10893449922001515</c:v>
                </c:pt>
                <c:pt idx="2">
                  <c:v>1.3929417009584001E-2</c:v>
                </c:pt>
                <c:pt idx="3">
                  <c:v>0.54938981031121936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51-4374-968E-E74D30CBCD5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SECTORAL DISTRIBUTION 2009</a:t>
            </a:r>
          </a:p>
          <a:p>
            <a:pPr>
              <a:defRPr/>
            </a:pPr>
            <a:r>
              <a:rPr lang="en-IN"/>
              <a:t>(AS % OF INTERMEDIATE DEMAND)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AE-4C18-99D4-B5DFF16D5A6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AE-4C18-99D4-B5DFF16D5A6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AE-4C18-99D4-B5DFF16D5A6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HUNGARY2009ttl!$B$59:$B$61</c:f>
              <c:strCache>
                <c:ptCount val="3"/>
                <c:pt idx="0">
                  <c:v>Primary</c:v>
                </c:pt>
                <c:pt idx="1">
                  <c:v>Secondary</c:v>
                </c:pt>
                <c:pt idx="2">
                  <c:v>Tertiary</c:v>
                </c:pt>
              </c:strCache>
            </c:strRef>
          </c:cat>
          <c:val>
            <c:numRef>
              <c:f>HUNGARY2009ttl!$F$59:$F$61</c:f>
              <c:numCache>
                <c:formatCode>General</c:formatCode>
                <c:ptCount val="3"/>
                <c:pt idx="0">
                  <c:v>10359.700000000004</c:v>
                </c:pt>
                <c:pt idx="1">
                  <c:v>67131.800000000017</c:v>
                </c:pt>
                <c:pt idx="2">
                  <c:v>66444.39999999998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AE-4C18-99D4-B5DFF16D5A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Sectoral Output Comparison - 2008 vs 2009</a:t>
            </a:r>
          </a:p>
        </c:rich>
      </c:tx>
      <c:layout>
        <c:manualLayout>
          <c:xMode val="edge"/>
          <c:yMode val="edge"/>
          <c:x val="0.144131889763779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sectoral analysis &amp; comparison'!$E$19</c:f>
              <c:strCache>
                <c:ptCount val="1"/>
                <c:pt idx="0">
                  <c:v>OUTPUT (2008)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 sectoral analysis &amp; comparison'!$A$20:$A$22</c:f>
              <c:strCache>
                <c:ptCount val="3"/>
                <c:pt idx="0">
                  <c:v>Primary</c:v>
                </c:pt>
                <c:pt idx="1">
                  <c:v>Secondary</c:v>
                </c:pt>
                <c:pt idx="2">
                  <c:v>Tertiary</c:v>
                </c:pt>
              </c:strCache>
            </c:strRef>
          </c:cat>
          <c:val>
            <c:numRef>
              <c:f>' sectoral analysis &amp; comparison'!$E$20:$E$22</c:f>
              <c:numCache>
                <c:formatCode>General</c:formatCode>
                <c:ptCount val="3"/>
                <c:pt idx="0">
                  <c:v>13322</c:v>
                </c:pt>
                <c:pt idx="1">
                  <c:v>90455.899999999892</c:v>
                </c:pt>
                <c:pt idx="2">
                  <c:v>79497.70000000007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F-4BDB-A751-49339EEC8D26}"/>
            </c:ext>
          </c:extLst>
        </c:ser>
        <c:ser>
          <c:idx val="1"/>
          <c:order val="1"/>
          <c:tx>
            <c:strRef>
              <c:f>' sectoral analysis &amp; comparison'!$AC$19</c:f>
              <c:strCache>
                <c:ptCount val="1"/>
                <c:pt idx="0">
                  <c:v>OUTPUT (2009)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 sectoral analysis &amp; comparison'!$A$20:$A$22</c:f>
              <c:strCache>
                <c:ptCount val="3"/>
                <c:pt idx="0">
                  <c:v>Primary</c:v>
                </c:pt>
                <c:pt idx="1">
                  <c:v>Secondary</c:v>
                </c:pt>
                <c:pt idx="2">
                  <c:v>Tertiary</c:v>
                </c:pt>
              </c:strCache>
            </c:strRef>
          </c:cat>
          <c:val>
            <c:numRef>
              <c:f>' sectoral analysis &amp; comparison'!$AC$20:$AC$22</c:f>
              <c:numCache>
                <c:formatCode>General</c:formatCode>
                <c:ptCount val="3"/>
                <c:pt idx="0">
                  <c:v>10359.700000000004</c:v>
                </c:pt>
                <c:pt idx="1">
                  <c:v>67131.800000000017</c:v>
                </c:pt>
                <c:pt idx="2">
                  <c:v>66444.39999999998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F-4BDB-A751-49339EEC8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9585247"/>
        <c:axId val="699588607"/>
      </c:barChart>
      <c:catAx>
        <c:axId val="69958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88607"/>
        <c:crosses val="autoZero"/>
        <c:auto val="1"/>
        <c:lblAlgn val="ctr"/>
        <c:lblOffset val="100"/>
        <c:noMultiLvlLbl val="0"/>
      </c:catAx>
      <c:valAx>
        <c:axId val="69958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85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sectoral analysis &amp; comparison'!$D$36</c:f>
              <c:strCache>
                <c:ptCount val="1"/>
                <c:pt idx="0">
                  <c:v>Growth%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sectoral analysis &amp; comparison'!$A$37:$A$39</c:f>
              <c:strCache>
                <c:ptCount val="3"/>
                <c:pt idx="0">
                  <c:v>Primary</c:v>
                </c:pt>
                <c:pt idx="1">
                  <c:v>Secondary</c:v>
                </c:pt>
                <c:pt idx="2">
                  <c:v>Tertiary</c:v>
                </c:pt>
              </c:strCache>
            </c:strRef>
          </c:cat>
          <c:val>
            <c:numRef>
              <c:f>' sectoral analysis &amp; comparison'!$D$37:$D$39</c:f>
              <c:numCache>
                <c:formatCode>0.00%</c:formatCode>
                <c:ptCount val="3"/>
                <c:pt idx="0">
                  <c:v>-0.22236150728118867</c:v>
                </c:pt>
                <c:pt idx="1">
                  <c:v>-0.25785051058029274</c:v>
                </c:pt>
                <c:pt idx="2">
                  <c:v>-0.16419720318952724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F-4585-9810-EFFE780E44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9584287"/>
        <c:axId val="699572287"/>
      </c:lineChart>
      <c:catAx>
        <c:axId val="69958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72287"/>
        <c:crosses val="autoZero"/>
        <c:auto val="1"/>
        <c:lblAlgn val="ctr"/>
        <c:lblOffset val="100"/>
        <c:noMultiLvlLbl val="0"/>
      </c:catAx>
      <c:valAx>
        <c:axId val="69957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GROWTH RATE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8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sv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101600</xdr:colOff>
      <xdr:row>2</xdr:row>
      <xdr:rowOff>0</xdr:rowOff>
    </xdr:from>
    <xdr:to>
      <xdr:col>60</xdr:col>
      <xdr:colOff>12700</xdr:colOff>
      <xdr:row>3</xdr:row>
      <xdr:rowOff>25400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551169C-FBA1-4052-B4D3-F4B9F939B63D}"/>
            </a:ext>
          </a:extLst>
        </xdr:cNvPr>
        <xdr:cNvSpPr/>
      </xdr:nvSpPr>
      <xdr:spPr>
        <a:xfrm>
          <a:off x="36068000" y="381000"/>
          <a:ext cx="520700" cy="2159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59</xdr:col>
      <xdr:colOff>76200</xdr:colOff>
      <xdr:row>3</xdr:row>
      <xdr:rowOff>165100</xdr:rowOff>
    </xdr:from>
    <xdr:to>
      <xdr:col>59</xdr:col>
      <xdr:colOff>596900</xdr:colOff>
      <xdr:row>5</xdr:row>
      <xdr:rowOff>12700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E0150DEC-6265-4470-9195-D61A5F1EE3D2}"/>
            </a:ext>
          </a:extLst>
        </xdr:cNvPr>
        <xdr:cNvSpPr/>
      </xdr:nvSpPr>
      <xdr:spPr>
        <a:xfrm>
          <a:off x="36042600" y="736600"/>
          <a:ext cx="520700" cy="2286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196850</xdr:colOff>
      <xdr:row>76</xdr:row>
      <xdr:rowOff>165100</xdr:rowOff>
    </xdr:from>
    <xdr:to>
      <xdr:col>24</xdr:col>
      <xdr:colOff>25400</xdr:colOff>
      <xdr:row>95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982F66-9E0B-4942-A9A3-D5B90DA72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158750</xdr:colOff>
      <xdr:row>78</xdr:row>
      <xdr:rowOff>76200</xdr:rowOff>
    </xdr:from>
    <xdr:to>
      <xdr:col>10</xdr:col>
      <xdr:colOff>2768600</xdr:colOff>
      <xdr:row>93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2FCE8B-6AE4-4EEF-8CB2-2556A59CD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2679700</xdr:colOff>
      <xdr:row>77</xdr:row>
      <xdr:rowOff>152400</xdr:rowOff>
    </xdr:from>
    <xdr:to>
      <xdr:col>17</xdr:col>
      <xdr:colOff>482600</xdr:colOff>
      <xdr:row>85</xdr:row>
      <xdr:rowOff>50800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49DCB47-6224-40E4-84BC-DE9F1ED51BFE}"/>
            </a:ext>
          </a:extLst>
        </xdr:cNvPr>
        <xdr:cNvCxnSpPr/>
      </xdr:nvCxnSpPr>
      <xdr:spPr>
        <a:xfrm flipH="1" flipV="1">
          <a:off x="6708775" y="14820900"/>
          <a:ext cx="4137025" cy="142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2730500</xdr:colOff>
      <xdr:row>88</xdr:row>
      <xdr:rowOff>139700</xdr:rowOff>
    </xdr:from>
    <xdr:to>
      <xdr:col>17</xdr:col>
      <xdr:colOff>444500</xdr:colOff>
      <xdr:row>94</xdr:row>
      <xdr:rowOff>101600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947A713-7554-400E-AFF6-D454FD4B8634}"/>
            </a:ext>
          </a:extLst>
        </xdr:cNvPr>
        <xdr:cNvCxnSpPr/>
      </xdr:nvCxnSpPr>
      <xdr:spPr>
        <a:xfrm flipH="1">
          <a:off x="6702425" y="16903700"/>
          <a:ext cx="4105275" cy="1104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458823</xdr:colOff>
      <xdr:row>57</xdr:row>
      <xdr:rowOff>67140</xdr:rowOff>
    </xdr:from>
    <xdr:to>
      <xdr:col>8</xdr:col>
      <xdr:colOff>459183</xdr:colOff>
      <xdr:row>57</xdr:row>
      <xdr:rowOff>67500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4039FBD-BC68-7F03-0E9B-488FDB4DE148}"/>
                </a:ext>
              </a:extLst>
            </xdr14:cNvPr>
            <xdr14:cNvContentPartPr/>
          </xdr14:nvContentPartPr>
          <xdr14:nvPr macro=""/>
          <xdr14:xfrm>
            <a:off x="6084176" y="10925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4039FBD-BC68-7F03-0E9B-488FDB4DE1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075536" y="108716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1053352</xdr:colOff>
      <xdr:row>69</xdr:row>
      <xdr:rowOff>1120</xdr:rowOff>
    </xdr:from>
    <xdr:to>
      <xdr:col>17</xdr:col>
      <xdr:colOff>649940</xdr:colOff>
      <xdr:row>87</xdr:row>
      <xdr:rowOff>44823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ADEF78-90ED-D9FE-5653-03B8F0555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536761</xdr:colOff>
      <xdr:row>71</xdr:row>
      <xdr:rowOff>179854</xdr:rowOff>
    </xdr:from>
    <xdr:to>
      <xdr:col>7</xdr:col>
      <xdr:colOff>602875</xdr:colOff>
      <xdr:row>85</xdr:row>
      <xdr:rowOff>10644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18A96F-E2D9-1B4A-69ED-7E839E240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19050</xdr:colOff>
      <xdr:row>72</xdr:row>
      <xdr:rowOff>0</xdr:rowOff>
    </xdr:from>
    <xdr:to>
      <xdr:col>10</xdr:col>
      <xdr:colOff>2028265</xdr:colOff>
      <xdr:row>79</xdr:row>
      <xdr:rowOff>22412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983FC8A-C3EC-6394-5F00-81F9383960CF}"/>
            </a:ext>
          </a:extLst>
        </xdr:cNvPr>
        <xdr:cNvCxnSpPr/>
      </xdr:nvCxnSpPr>
      <xdr:spPr>
        <a:xfrm>
          <a:off x="5667375" y="13716000"/>
          <a:ext cx="3228415" cy="13559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80</xdr:row>
      <xdr:rowOff>46504</xdr:rowOff>
    </xdr:from>
    <xdr:to>
      <xdr:col>10</xdr:col>
      <xdr:colOff>2017059</xdr:colOff>
      <xdr:row>85</xdr:row>
      <xdr:rowOff>9525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63BA4D4-A1BC-3BA9-8A6E-05D2F0D84610}"/>
            </a:ext>
          </a:extLst>
        </xdr:cNvPr>
        <xdr:cNvCxnSpPr/>
      </xdr:nvCxnSpPr>
      <xdr:spPr>
        <a:xfrm flipV="1">
          <a:off x="5657850" y="15286504"/>
          <a:ext cx="3226734" cy="9155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59</xdr:col>
      <xdr:colOff>63176</xdr:colOff>
      <xdr:row>0</xdr:row>
      <xdr:rowOff>106913</xdr:rowOff>
    </xdr:from>
    <xdr:to>
      <xdr:col>59</xdr:col>
      <xdr:colOff>563724</xdr:colOff>
      <xdr:row>2</xdr:row>
      <xdr:rowOff>48597</xdr:rowOff>
    </xdr:to>
    <xdr:pic>
      <xdr:nvPicPr>
        <xdr:cNvPr id="24" name="Graphic 23" descr="Back with solid fill">
          <a:extLst>
            <a:ext uri="{FF2B5EF4-FFF2-40B4-BE49-F238E27FC236}">
              <a16:creationId xmlns:a16="http://schemas.microsoft.com/office/drawing/2014/main" id="{1791BCB7-88E3-1102-626F-369B5A4E7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703699" y="106913"/>
          <a:ext cx="500548" cy="320740"/>
        </a:xfrm>
        <a:prstGeom prst="rect">
          <a:avLst/>
        </a:prstGeom>
      </xdr:spPr>
    </xdr:pic>
    <xdr:clientData/>
  </xdr:twoCellAnchor>
  <xdr:twoCellAnchor editAs="oneCell">
    <xdr:from>
      <xdr:col>59</xdr:col>
      <xdr:colOff>87474</xdr:colOff>
      <xdr:row>2</xdr:row>
      <xdr:rowOff>97193</xdr:rowOff>
    </xdr:from>
    <xdr:to>
      <xdr:col>59</xdr:col>
      <xdr:colOff>588022</xdr:colOff>
      <xdr:row>4</xdr:row>
      <xdr:rowOff>38878</xdr:rowOff>
    </xdr:to>
    <xdr:pic>
      <xdr:nvPicPr>
        <xdr:cNvPr id="25" name="Graphic 24" descr="Back with solid fill">
          <a:extLst>
            <a:ext uri="{FF2B5EF4-FFF2-40B4-BE49-F238E27FC236}">
              <a16:creationId xmlns:a16="http://schemas.microsoft.com/office/drawing/2014/main" id="{B495895D-ECEE-4A0F-A042-D96B333C4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936964" y="485969"/>
          <a:ext cx="500548" cy="330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2</xdr:row>
      <xdr:rowOff>161924</xdr:rowOff>
    </xdr:from>
    <xdr:to>
      <xdr:col>12</xdr:col>
      <xdr:colOff>142875</xdr:colOff>
      <xdr:row>15</xdr:row>
      <xdr:rowOff>42861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03E505-9491-43A5-63FA-1F149CBCD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428625</xdr:colOff>
      <xdr:row>18</xdr:row>
      <xdr:rowOff>9525</xdr:rowOff>
    </xdr:from>
    <xdr:to>
      <xdr:col>12</xdr:col>
      <xdr:colOff>109537</xdr:colOff>
      <xdr:row>31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21CD9C-9F60-5512-E2AB-3A35FC22D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190499</xdr:rowOff>
    </xdr:from>
    <xdr:to>
      <xdr:col>21</xdr:col>
      <xdr:colOff>419100</xdr:colOff>
      <xdr:row>15</xdr:row>
      <xdr:rowOff>47624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728BDB1-F98A-86C5-E95E-DDE3AFC4E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18</xdr:row>
      <xdr:rowOff>0</xdr:rowOff>
    </xdr:from>
    <xdr:to>
      <xdr:col>21</xdr:col>
      <xdr:colOff>364305</xdr:colOff>
      <xdr:row>31</xdr:row>
      <xdr:rowOff>75718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FAD40AF-8C8E-441A-9A98-86F67E77A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45</xdr:row>
      <xdr:rowOff>4762</xdr:rowOff>
    </xdr:from>
    <xdr:to>
      <xdr:col>9</xdr:col>
      <xdr:colOff>602602</xdr:colOff>
      <xdr:row>64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590CF7C-716D-8890-87FC-98CCE9623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3658</xdr:colOff>
      <xdr:row>44</xdr:row>
      <xdr:rowOff>186342</xdr:rowOff>
    </xdr:from>
    <xdr:to>
      <xdr:col>20</xdr:col>
      <xdr:colOff>602602</xdr:colOff>
      <xdr:row>64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245BA43-DA16-E3D9-91A7-4A29DE1BD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1T08:09:18.45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0,'0'0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397A-6944-4443-9C1C-5BD59E507870}">
  <dimension ref="A1:B54"/>
  <sheetViews>
    <sheetView tabSelected="1" workbookViewId="0">
      <selection activeCell="B8" sqref="B8"/>
    </sheetView>
  </sheetViews>
  <sheetFormatPr defaultRowHeight="14.4" x14ac:dyDescent="0.3"/>
  <cols>
    <col min="2" max="2" width="113.44140625" bestFit="1" customWidth="1"/>
  </cols>
  <sheetData>
    <row r="1" spans="1:2" x14ac:dyDescent="0.3">
      <c r="A1" s="81" t="s">
        <v>234</v>
      </c>
      <c r="B1" s="82"/>
    </row>
    <row r="2" spans="1:2" x14ac:dyDescent="0.3">
      <c r="A2" s="82"/>
      <c r="B2" s="82"/>
    </row>
    <row r="4" spans="1:2" x14ac:dyDescent="0.3">
      <c r="A4" s="19" t="s">
        <v>122</v>
      </c>
      <c r="B4" s="19" t="s">
        <v>123</v>
      </c>
    </row>
    <row r="5" spans="1:2" x14ac:dyDescent="0.3">
      <c r="A5" s="23" t="s">
        <v>124</v>
      </c>
      <c r="B5" s="23" t="s">
        <v>125</v>
      </c>
    </row>
    <row r="6" spans="1:2" x14ac:dyDescent="0.3">
      <c r="A6" s="23" t="s">
        <v>126</v>
      </c>
      <c r="B6" s="23" t="s">
        <v>127</v>
      </c>
    </row>
    <row r="7" spans="1:2" x14ac:dyDescent="0.3">
      <c r="A7" s="23" t="s">
        <v>1</v>
      </c>
      <c r="B7" s="23" t="s">
        <v>128</v>
      </c>
    </row>
    <row r="8" spans="1:2" x14ac:dyDescent="0.3">
      <c r="A8" s="23" t="s">
        <v>129</v>
      </c>
      <c r="B8" s="23" t="s">
        <v>130</v>
      </c>
    </row>
    <row r="9" spans="1:2" x14ac:dyDescent="0.3">
      <c r="A9" s="23" t="s">
        <v>131</v>
      </c>
      <c r="B9" s="23" t="s">
        <v>132</v>
      </c>
    </row>
    <row r="10" spans="1:2" x14ac:dyDescent="0.3">
      <c r="A10" s="23" t="s">
        <v>133</v>
      </c>
      <c r="B10" s="23" t="s">
        <v>134</v>
      </c>
    </row>
    <row r="11" spans="1:2" x14ac:dyDescent="0.3">
      <c r="A11" s="23" t="s">
        <v>135</v>
      </c>
      <c r="B11" s="23" t="s">
        <v>136</v>
      </c>
    </row>
    <row r="12" spans="1:2" x14ac:dyDescent="0.3">
      <c r="A12" s="23" t="s">
        <v>4</v>
      </c>
      <c r="B12" s="23" t="s">
        <v>137</v>
      </c>
    </row>
    <row r="13" spans="1:2" x14ac:dyDescent="0.3">
      <c r="A13" s="23" t="s">
        <v>5</v>
      </c>
      <c r="B13" s="23" t="s">
        <v>138</v>
      </c>
    </row>
    <row r="14" spans="1:2" x14ac:dyDescent="0.3">
      <c r="A14" s="23" t="s">
        <v>6</v>
      </c>
      <c r="B14" s="23" t="s">
        <v>139</v>
      </c>
    </row>
    <row r="15" spans="1:2" x14ac:dyDescent="0.3">
      <c r="A15" s="23" t="s">
        <v>7</v>
      </c>
      <c r="B15" s="23" t="s">
        <v>140</v>
      </c>
    </row>
    <row r="16" spans="1:2" x14ac:dyDescent="0.3">
      <c r="A16" s="23" t="s">
        <v>8</v>
      </c>
      <c r="B16" s="23" t="s">
        <v>141</v>
      </c>
    </row>
    <row r="17" spans="1:2" x14ac:dyDescent="0.3">
      <c r="A17" s="23" t="s">
        <v>9</v>
      </c>
      <c r="B17" s="23" t="s">
        <v>142</v>
      </c>
    </row>
    <row r="18" spans="1:2" x14ac:dyDescent="0.3">
      <c r="A18" s="23" t="s">
        <v>10</v>
      </c>
      <c r="B18" s="23" t="s">
        <v>143</v>
      </c>
    </row>
    <row r="19" spans="1:2" x14ac:dyDescent="0.3">
      <c r="A19" s="23" t="s">
        <v>11</v>
      </c>
      <c r="B19" s="23" t="s">
        <v>144</v>
      </c>
    </row>
    <row r="20" spans="1:2" x14ac:dyDescent="0.3">
      <c r="A20" s="23" t="s">
        <v>12</v>
      </c>
      <c r="B20" s="23" t="s">
        <v>145</v>
      </c>
    </row>
    <row r="21" spans="1:2" x14ac:dyDescent="0.3">
      <c r="A21" s="23" t="s">
        <v>13</v>
      </c>
      <c r="B21" s="23" t="s">
        <v>146</v>
      </c>
    </row>
    <row r="22" spans="1:2" x14ac:dyDescent="0.3">
      <c r="A22" s="23" t="s">
        <v>147</v>
      </c>
      <c r="B22" s="23" t="s">
        <v>148</v>
      </c>
    </row>
    <row r="23" spans="1:2" x14ac:dyDescent="0.3">
      <c r="A23" s="23" t="s">
        <v>149</v>
      </c>
      <c r="B23" s="23" t="s">
        <v>150</v>
      </c>
    </row>
    <row r="24" spans="1:2" x14ac:dyDescent="0.3">
      <c r="A24" s="23" t="s">
        <v>15</v>
      </c>
      <c r="B24" s="23" t="s">
        <v>151</v>
      </c>
    </row>
    <row r="25" spans="1:2" x14ac:dyDescent="0.3">
      <c r="A25" s="23" t="s">
        <v>16</v>
      </c>
      <c r="B25" s="23" t="s">
        <v>152</v>
      </c>
    </row>
    <row r="26" spans="1:2" x14ac:dyDescent="0.3">
      <c r="A26" s="23" t="s">
        <v>17</v>
      </c>
      <c r="B26" s="23" t="s">
        <v>153</v>
      </c>
    </row>
    <row r="27" spans="1:2" x14ac:dyDescent="0.3">
      <c r="A27" s="23" t="s">
        <v>18</v>
      </c>
      <c r="B27" s="23" t="s">
        <v>154</v>
      </c>
    </row>
    <row r="28" spans="1:2" x14ac:dyDescent="0.3">
      <c r="A28" s="23" t="s">
        <v>19</v>
      </c>
      <c r="B28" s="23" t="s">
        <v>155</v>
      </c>
    </row>
    <row r="29" spans="1:2" x14ac:dyDescent="0.3">
      <c r="A29" s="23" t="s">
        <v>156</v>
      </c>
      <c r="B29" s="23" t="s">
        <v>157</v>
      </c>
    </row>
    <row r="30" spans="1:2" x14ac:dyDescent="0.3">
      <c r="A30" s="23" t="s">
        <v>158</v>
      </c>
      <c r="B30" s="23" t="s">
        <v>159</v>
      </c>
    </row>
    <row r="31" spans="1:2" x14ac:dyDescent="0.3">
      <c r="A31" s="23" t="s">
        <v>21</v>
      </c>
      <c r="B31" s="23" t="s">
        <v>160</v>
      </c>
    </row>
    <row r="32" spans="1:2" x14ac:dyDescent="0.3">
      <c r="A32" s="23" t="s">
        <v>22</v>
      </c>
      <c r="B32" s="23" t="s">
        <v>161</v>
      </c>
    </row>
    <row r="33" spans="1:2" x14ac:dyDescent="0.3">
      <c r="A33" s="23" t="s">
        <v>23</v>
      </c>
      <c r="B33" s="23" t="s">
        <v>162</v>
      </c>
    </row>
    <row r="34" spans="1:2" x14ac:dyDescent="0.3">
      <c r="A34" s="23" t="s">
        <v>24</v>
      </c>
      <c r="B34" s="23" t="s">
        <v>163</v>
      </c>
    </row>
    <row r="35" spans="1:2" x14ac:dyDescent="0.3">
      <c r="A35" s="23" t="s">
        <v>25</v>
      </c>
      <c r="B35" s="23" t="s">
        <v>164</v>
      </c>
    </row>
    <row r="36" spans="1:2" x14ac:dyDescent="0.3">
      <c r="A36" s="23" t="s">
        <v>26</v>
      </c>
      <c r="B36" s="23" t="s">
        <v>165</v>
      </c>
    </row>
    <row r="37" spans="1:2" x14ac:dyDescent="0.3">
      <c r="A37" s="23" t="s">
        <v>27</v>
      </c>
      <c r="B37" s="23" t="s">
        <v>166</v>
      </c>
    </row>
    <row r="38" spans="1:2" x14ac:dyDescent="0.3">
      <c r="A38" s="23" t="s">
        <v>28</v>
      </c>
      <c r="B38" s="23" t="s">
        <v>167</v>
      </c>
    </row>
    <row r="39" spans="1:2" x14ac:dyDescent="0.3">
      <c r="A39" s="23" t="s">
        <v>29</v>
      </c>
      <c r="B39" s="23" t="s">
        <v>168</v>
      </c>
    </row>
    <row r="40" spans="1:2" x14ac:dyDescent="0.3">
      <c r="A40" s="23" t="s">
        <v>30</v>
      </c>
      <c r="B40" s="23" t="s">
        <v>169</v>
      </c>
    </row>
    <row r="41" spans="1:2" x14ac:dyDescent="0.3">
      <c r="A41" s="23" t="s">
        <v>31</v>
      </c>
      <c r="B41" s="23" t="s">
        <v>170</v>
      </c>
    </row>
    <row r="42" spans="1:2" x14ac:dyDescent="0.3">
      <c r="A42" s="23" t="s">
        <v>32</v>
      </c>
      <c r="B42" s="23" t="s">
        <v>171</v>
      </c>
    </row>
    <row r="43" spans="1:2" x14ac:dyDescent="0.3">
      <c r="A43" s="23" t="s">
        <v>33</v>
      </c>
      <c r="B43" s="23" t="s">
        <v>172</v>
      </c>
    </row>
    <row r="44" spans="1:2" x14ac:dyDescent="0.3">
      <c r="A44" s="23" t="s">
        <v>34</v>
      </c>
      <c r="B44" s="23" t="s">
        <v>173</v>
      </c>
    </row>
    <row r="45" spans="1:2" x14ac:dyDescent="0.3">
      <c r="A45" s="23" t="s">
        <v>35</v>
      </c>
      <c r="B45" s="23" t="s">
        <v>174</v>
      </c>
    </row>
    <row r="46" spans="1:2" x14ac:dyDescent="0.3">
      <c r="A46" s="23" t="s">
        <v>36</v>
      </c>
      <c r="B46" s="23" t="s">
        <v>175</v>
      </c>
    </row>
    <row r="47" spans="1:2" x14ac:dyDescent="0.3">
      <c r="A47" s="23" t="s">
        <v>37</v>
      </c>
      <c r="B47" s="23" t="s">
        <v>176</v>
      </c>
    </row>
    <row r="48" spans="1:2" x14ac:dyDescent="0.3">
      <c r="A48" s="23" t="s">
        <v>38</v>
      </c>
      <c r="B48" s="23" t="s">
        <v>177</v>
      </c>
    </row>
    <row r="49" spans="1:2" x14ac:dyDescent="0.3">
      <c r="A49" s="23" t="s">
        <v>39</v>
      </c>
      <c r="B49" s="23" t="s">
        <v>178</v>
      </c>
    </row>
    <row r="50" spans="1:2" x14ac:dyDescent="0.3">
      <c r="A50" s="23" t="s">
        <v>40</v>
      </c>
      <c r="B50" s="23" t="s">
        <v>179</v>
      </c>
    </row>
    <row r="51" spans="1:2" x14ac:dyDescent="0.3">
      <c r="A51" s="23" t="s">
        <v>41</v>
      </c>
      <c r="B51" s="23" t="s">
        <v>180</v>
      </c>
    </row>
    <row r="52" spans="1:2" x14ac:dyDescent="0.3">
      <c r="A52" s="23" t="s">
        <v>42</v>
      </c>
      <c r="B52" s="23" t="s">
        <v>181</v>
      </c>
    </row>
    <row r="53" spans="1:2" x14ac:dyDescent="0.3">
      <c r="A53" s="23" t="s">
        <v>43</v>
      </c>
      <c r="B53" s="23" t="s">
        <v>182</v>
      </c>
    </row>
    <row r="54" spans="1:2" x14ac:dyDescent="0.3">
      <c r="A54" s="23" t="s">
        <v>44</v>
      </c>
      <c r="B54" s="23" t="s">
        <v>183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B6A3-37B5-47D5-B07F-E7B60B1D4ECF}">
  <dimension ref="A1:BI67"/>
  <sheetViews>
    <sheetView zoomScaleNormal="100" workbookViewId="0">
      <pane xSplit="1" topLeftCell="C1" activePane="topRight" state="frozen"/>
      <selection pane="topRight" activeCell="I62" sqref="I62"/>
    </sheetView>
  </sheetViews>
  <sheetFormatPr defaultRowHeight="14.4" x14ac:dyDescent="0.3"/>
  <cols>
    <col min="1" max="1" width="18.5546875" customWidth="1"/>
    <col min="11" max="11" width="44.5546875" bestFit="1" customWidth="1"/>
    <col min="12" max="12" width="10.6640625" bestFit="1" customWidth="1"/>
    <col min="13" max="13" width="9.5546875" bestFit="1" customWidth="1"/>
    <col min="14" max="14" width="9.88671875" bestFit="1" customWidth="1"/>
    <col min="15" max="15" width="10.33203125" bestFit="1" customWidth="1"/>
    <col min="16" max="16" width="9.109375" bestFit="1" customWidth="1"/>
    <col min="17" max="17" width="9.5546875" bestFit="1" customWidth="1"/>
    <col min="18" max="18" width="16.109375" customWidth="1"/>
    <col min="19" max="19" width="9.88671875" bestFit="1" customWidth="1"/>
    <col min="20" max="20" width="11.44140625" bestFit="1" customWidth="1"/>
    <col min="21" max="21" width="16.33203125" customWidth="1"/>
    <col min="53" max="53" width="16.6640625" customWidth="1"/>
    <col min="56" max="56" width="16.44140625" customWidth="1"/>
    <col min="57" max="57" width="14.33203125" customWidth="1"/>
    <col min="61" max="61" width="23.6640625" customWidth="1"/>
  </cols>
  <sheetData>
    <row r="1" spans="1:61" x14ac:dyDescent="0.3">
      <c r="A1" s="19"/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21</v>
      </c>
      <c r="X1" s="19" t="s">
        <v>22</v>
      </c>
      <c r="Y1" s="19" t="s">
        <v>23</v>
      </c>
      <c r="Z1" s="19" t="s">
        <v>24</v>
      </c>
      <c r="AA1" s="19" t="s">
        <v>25</v>
      </c>
      <c r="AB1" s="19" t="s">
        <v>26</v>
      </c>
      <c r="AC1" s="19" t="s">
        <v>27</v>
      </c>
      <c r="AD1" s="19" t="s">
        <v>28</v>
      </c>
      <c r="AE1" s="19" t="s">
        <v>29</v>
      </c>
      <c r="AF1" s="19" t="s">
        <v>30</v>
      </c>
      <c r="AG1" s="19" t="s">
        <v>31</v>
      </c>
      <c r="AH1" s="19" t="s">
        <v>32</v>
      </c>
      <c r="AI1" s="19" t="s">
        <v>33</v>
      </c>
      <c r="AJ1" s="19" t="s">
        <v>34</v>
      </c>
      <c r="AK1" s="19" t="s">
        <v>35</v>
      </c>
      <c r="AL1" s="19" t="s">
        <v>36</v>
      </c>
      <c r="AM1" s="19" t="s">
        <v>37</v>
      </c>
      <c r="AN1" s="19" t="s">
        <v>38</v>
      </c>
      <c r="AO1" s="19" t="s">
        <v>39</v>
      </c>
      <c r="AP1" s="19" t="s">
        <v>40</v>
      </c>
      <c r="AQ1" s="19" t="s">
        <v>41</v>
      </c>
      <c r="AR1" s="19" t="s">
        <v>42</v>
      </c>
      <c r="AS1" s="19" t="s">
        <v>43</v>
      </c>
      <c r="AT1" s="19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s="43" t="s">
        <v>229</v>
      </c>
      <c r="BE1" s="43" t="s">
        <v>228</v>
      </c>
    </row>
    <row r="2" spans="1:61" x14ac:dyDescent="0.3">
      <c r="A2" s="19" t="s">
        <v>54</v>
      </c>
      <c r="B2" s="2">
        <v>2817</v>
      </c>
      <c r="C2" s="2">
        <v>5.0999999999999996</v>
      </c>
      <c r="D2" s="2">
        <v>0.6</v>
      </c>
      <c r="E2" s="2">
        <v>0.6</v>
      </c>
      <c r="F2" s="2">
        <v>0.2</v>
      </c>
      <c r="G2" s="3">
        <v>4082.4</v>
      </c>
      <c r="H2" s="3">
        <v>15.3</v>
      </c>
      <c r="I2" s="3">
        <v>103.6</v>
      </c>
      <c r="J2" s="3">
        <v>10.7</v>
      </c>
      <c r="K2" s="3">
        <v>17.899999999999999</v>
      </c>
      <c r="L2" s="3">
        <v>18.600000000000001</v>
      </c>
      <c r="M2" s="3">
        <v>19.7</v>
      </c>
      <c r="N2" s="3">
        <v>46.6</v>
      </c>
      <c r="O2" s="3">
        <v>10.6</v>
      </c>
      <c r="P2" s="3">
        <v>8.1</v>
      </c>
      <c r="Q2" s="3">
        <v>9.9</v>
      </c>
      <c r="R2" s="3">
        <v>18.899999999999999</v>
      </c>
      <c r="S2" s="3">
        <v>14.3</v>
      </c>
      <c r="T2" s="3">
        <v>9.1</v>
      </c>
      <c r="U2" s="3">
        <v>30.5</v>
      </c>
      <c r="V2" s="3">
        <v>1.1000000000000001</v>
      </c>
      <c r="W2" s="3">
        <v>18.600000000000001</v>
      </c>
      <c r="X2" s="3">
        <v>112.3</v>
      </c>
      <c r="Y2" s="3">
        <v>9</v>
      </c>
      <c r="Z2" s="3">
        <v>42.2</v>
      </c>
      <c r="AA2" s="4">
        <v>413.1</v>
      </c>
      <c r="AB2" s="4">
        <v>17.600000000000001</v>
      </c>
      <c r="AC2" s="4">
        <v>0.7</v>
      </c>
      <c r="AD2" s="4">
        <v>3.7</v>
      </c>
      <c r="AE2" s="4">
        <v>15.7</v>
      </c>
      <c r="AF2" s="4">
        <v>0.5</v>
      </c>
      <c r="AG2" s="4">
        <v>118.7</v>
      </c>
      <c r="AH2" s="4">
        <v>8.5</v>
      </c>
      <c r="AI2" s="4">
        <v>6.8</v>
      </c>
      <c r="AJ2" s="4">
        <v>2.5</v>
      </c>
      <c r="AK2" s="4">
        <v>6.1</v>
      </c>
      <c r="AL2" s="4">
        <v>18.2</v>
      </c>
      <c r="AM2" s="4">
        <v>28.7</v>
      </c>
      <c r="AN2" s="4">
        <v>21.3</v>
      </c>
      <c r="AO2" s="4">
        <v>13.6</v>
      </c>
      <c r="AP2" s="4">
        <v>5.0999999999999996</v>
      </c>
      <c r="AQ2" s="4">
        <v>27.4</v>
      </c>
      <c r="AR2" s="4">
        <v>5.7</v>
      </c>
      <c r="AS2" s="4">
        <v>15</v>
      </c>
      <c r="AT2" s="4">
        <v>0</v>
      </c>
      <c r="AU2">
        <v>2531.1</v>
      </c>
      <c r="AV2">
        <v>0.4</v>
      </c>
      <c r="AW2">
        <v>25</v>
      </c>
      <c r="AX2">
        <v>422.7</v>
      </c>
      <c r="AY2">
        <v>151.6</v>
      </c>
      <c r="AZ2">
        <v>18.399999999999999</v>
      </c>
      <c r="BA2">
        <v>70.7</v>
      </c>
      <c r="BB2">
        <v>3274.3</v>
      </c>
      <c r="BC2">
        <v>-927.3</v>
      </c>
      <c r="BD2" s="10">
        <f t="shared" ref="BD2:BD46" si="0">SUM(AU2:BC2)</f>
        <v>5566.9</v>
      </c>
      <c r="BE2" s="10">
        <f t="shared" ref="BE2:BE46" si="1">SUM(B2:BC2)</f>
        <v>13718.700000000004</v>
      </c>
    </row>
    <row r="3" spans="1:61" x14ac:dyDescent="0.3">
      <c r="A3" s="19" t="s">
        <v>55</v>
      </c>
      <c r="B3" s="2">
        <v>1.8</v>
      </c>
      <c r="C3" s="2">
        <v>7.2</v>
      </c>
      <c r="D3" s="2">
        <v>0</v>
      </c>
      <c r="E3" s="2">
        <v>0</v>
      </c>
      <c r="F3" s="2">
        <v>0</v>
      </c>
      <c r="G3" s="3">
        <v>2.7</v>
      </c>
      <c r="H3" s="3">
        <v>0</v>
      </c>
      <c r="I3" s="3">
        <v>0</v>
      </c>
      <c r="J3" s="3">
        <v>0</v>
      </c>
      <c r="K3" s="3">
        <v>0.1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0.1</v>
      </c>
      <c r="S3" s="3">
        <v>0</v>
      </c>
      <c r="T3" s="3">
        <v>0</v>
      </c>
      <c r="U3" s="3">
        <v>0.2</v>
      </c>
      <c r="V3" s="3">
        <v>0</v>
      </c>
      <c r="W3" s="3">
        <v>0</v>
      </c>
      <c r="X3" s="3">
        <v>0.1</v>
      </c>
      <c r="Y3" s="3">
        <v>0</v>
      </c>
      <c r="Z3" s="3">
        <v>0.2</v>
      </c>
      <c r="AA3" s="4">
        <v>0.4</v>
      </c>
      <c r="AB3" s="4">
        <v>0</v>
      </c>
      <c r="AC3" s="4">
        <v>0</v>
      </c>
      <c r="AD3" s="4">
        <v>0</v>
      </c>
      <c r="AE3" s="4">
        <v>0.1</v>
      </c>
      <c r="AF3" s="4">
        <v>0</v>
      </c>
      <c r="AG3" s="4">
        <v>12.7</v>
      </c>
      <c r="AH3" s="4">
        <v>0</v>
      </c>
      <c r="AI3" s="4">
        <v>0</v>
      </c>
      <c r="AJ3" s="4">
        <v>0</v>
      </c>
      <c r="AK3" s="4">
        <v>0</v>
      </c>
      <c r="AL3" s="4">
        <v>0.1</v>
      </c>
      <c r="AM3" s="4">
        <v>0.1</v>
      </c>
      <c r="AN3" s="4">
        <v>0.1</v>
      </c>
      <c r="AO3" s="4">
        <v>0</v>
      </c>
      <c r="AP3" s="4">
        <v>0</v>
      </c>
      <c r="AQ3" s="4">
        <v>0.1</v>
      </c>
      <c r="AR3" s="4">
        <v>0.4</v>
      </c>
      <c r="AS3" s="4">
        <v>0.1</v>
      </c>
      <c r="AT3" s="4">
        <v>0</v>
      </c>
      <c r="AU3">
        <v>28.9</v>
      </c>
      <c r="AV3">
        <v>0.5</v>
      </c>
      <c r="AW3">
        <v>0.9</v>
      </c>
      <c r="AX3">
        <v>1.7</v>
      </c>
      <c r="AY3">
        <v>0.6</v>
      </c>
      <c r="AZ3">
        <v>1.1000000000000001</v>
      </c>
      <c r="BA3">
        <v>4.5999999999999996</v>
      </c>
      <c r="BB3">
        <v>3.1</v>
      </c>
      <c r="BC3">
        <v>-7.2</v>
      </c>
      <c r="BD3" s="10">
        <f t="shared" si="0"/>
        <v>34.199999999999996</v>
      </c>
      <c r="BE3" s="10">
        <f t="shared" si="1"/>
        <v>60.699999999999989</v>
      </c>
      <c r="BG3" s="42"/>
      <c r="BI3" t="s">
        <v>227</v>
      </c>
    </row>
    <row r="4" spans="1:61" x14ac:dyDescent="0.3">
      <c r="A4" s="19" t="s">
        <v>56</v>
      </c>
      <c r="B4" s="2">
        <v>39.1</v>
      </c>
      <c r="C4" s="2">
        <v>0.1</v>
      </c>
      <c r="D4" s="2">
        <v>15.3</v>
      </c>
      <c r="E4" s="2">
        <v>11.6</v>
      </c>
      <c r="F4" s="2">
        <v>0.6</v>
      </c>
      <c r="G4" s="3">
        <v>51.5</v>
      </c>
      <c r="H4" s="3">
        <v>2.2000000000000002</v>
      </c>
      <c r="I4" s="3">
        <v>2.1</v>
      </c>
      <c r="J4" s="3">
        <v>9.4</v>
      </c>
      <c r="K4" s="3">
        <v>2216.9</v>
      </c>
      <c r="L4" s="3">
        <v>132.4</v>
      </c>
      <c r="M4" s="3">
        <v>10.9</v>
      </c>
      <c r="N4" s="3">
        <v>2.8</v>
      </c>
      <c r="O4" s="3">
        <v>60.4</v>
      </c>
      <c r="P4" s="3">
        <v>168.9</v>
      </c>
      <c r="Q4" s="3">
        <v>4.8</v>
      </c>
      <c r="R4" s="3">
        <v>5.2</v>
      </c>
      <c r="S4" s="3">
        <v>3.5</v>
      </c>
      <c r="T4" s="3">
        <v>3.6</v>
      </c>
      <c r="U4" s="3">
        <v>12.9</v>
      </c>
      <c r="V4" s="3">
        <v>2.7</v>
      </c>
      <c r="W4" s="3">
        <v>1.4</v>
      </c>
      <c r="X4" s="3">
        <v>1042</v>
      </c>
      <c r="Y4" s="3">
        <v>11.4</v>
      </c>
      <c r="Z4" s="3">
        <v>44.3</v>
      </c>
      <c r="AA4" s="4">
        <v>72</v>
      </c>
      <c r="AB4" s="4">
        <v>52</v>
      </c>
      <c r="AC4" s="4">
        <v>0.4</v>
      </c>
      <c r="AD4" s="4">
        <v>1.8</v>
      </c>
      <c r="AE4" s="4">
        <v>43.9</v>
      </c>
      <c r="AF4" s="4">
        <v>2.4</v>
      </c>
      <c r="AG4" s="4">
        <v>33.4</v>
      </c>
      <c r="AH4" s="4">
        <v>2.5</v>
      </c>
      <c r="AI4" s="4">
        <v>4.9000000000000004</v>
      </c>
      <c r="AJ4" s="4">
        <v>1.5</v>
      </c>
      <c r="AK4" s="4">
        <v>6.6</v>
      </c>
      <c r="AL4" s="4">
        <v>24</v>
      </c>
      <c r="AM4" s="4">
        <v>36.9</v>
      </c>
      <c r="AN4" s="4">
        <v>15.3</v>
      </c>
      <c r="AO4" s="4">
        <v>50.8</v>
      </c>
      <c r="AP4" s="4">
        <v>50.7</v>
      </c>
      <c r="AQ4" s="4">
        <v>63</v>
      </c>
      <c r="AR4" s="4">
        <v>29.3</v>
      </c>
      <c r="AS4" s="4">
        <v>9.1</v>
      </c>
      <c r="AT4" s="4">
        <v>0</v>
      </c>
      <c r="AU4">
        <v>622.1</v>
      </c>
      <c r="AV4">
        <v>0</v>
      </c>
      <c r="AW4">
        <v>2.2000000000000002</v>
      </c>
      <c r="AX4">
        <v>55.8</v>
      </c>
      <c r="AY4">
        <v>59.2</v>
      </c>
      <c r="AZ4">
        <v>0.6</v>
      </c>
      <c r="BA4">
        <v>1</v>
      </c>
      <c r="BB4">
        <v>52.5</v>
      </c>
      <c r="BC4">
        <v>-4895.3</v>
      </c>
      <c r="BD4" s="10">
        <f t="shared" si="0"/>
        <v>-4101.8999999999996</v>
      </c>
      <c r="BE4" s="10">
        <f t="shared" si="1"/>
        <v>254.60000000000218</v>
      </c>
    </row>
    <row r="5" spans="1:61" x14ac:dyDescent="0.3">
      <c r="A5" s="19" t="s">
        <v>57</v>
      </c>
      <c r="B5" s="2">
        <v>21</v>
      </c>
      <c r="C5" s="2">
        <v>0</v>
      </c>
      <c r="D5" s="2">
        <v>27.1</v>
      </c>
      <c r="E5" s="2">
        <v>17.3</v>
      </c>
      <c r="F5" s="2">
        <v>7.9</v>
      </c>
      <c r="G5" s="3">
        <v>51.3</v>
      </c>
      <c r="H5" s="3">
        <v>1.2</v>
      </c>
      <c r="I5" s="3">
        <v>1.6</v>
      </c>
      <c r="J5" s="3">
        <v>5</v>
      </c>
      <c r="K5" s="3">
        <v>1</v>
      </c>
      <c r="L5" s="3">
        <v>14.4</v>
      </c>
      <c r="M5" s="3">
        <v>1.7</v>
      </c>
      <c r="N5" s="3">
        <v>8.4</v>
      </c>
      <c r="O5" s="3">
        <v>136.69999999999999</v>
      </c>
      <c r="P5" s="3">
        <v>31.2</v>
      </c>
      <c r="Q5" s="3">
        <v>20.8</v>
      </c>
      <c r="R5" s="3">
        <v>6.2</v>
      </c>
      <c r="S5" s="3">
        <v>10.4</v>
      </c>
      <c r="T5" s="3">
        <v>7.9</v>
      </c>
      <c r="U5" s="3">
        <v>16.5</v>
      </c>
      <c r="V5" s="3">
        <v>0.5</v>
      </c>
      <c r="W5" s="3">
        <v>3.6</v>
      </c>
      <c r="X5" s="3">
        <v>2.1</v>
      </c>
      <c r="Y5" s="3">
        <v>5.6</v>
      </c>
      <c r="Z5" s="3">
        <v>142</v>
      </c>
      <c r="AA5" s="4">
        <v>33.6</v>
      </c>
      <c r="AB5" s="4">
        <v>1.3</v>
      </c>
      <c r="AC5" s="4">
        <v>0.2</v>
      </c>
      <c r="AD5" s="4">
        <v>0</v>
      </c>
      <c r="AE5" s="4">
        <v>1.9</v>
      </c>
      <c r="AF5" s="4">
        <v>0</v>
      </c>
      <c r="AG5" s="4">
        <v>0.4</v>
      </c>
      <c r="AH5" s="4">
        <v>0.4</v>
      </c>
      <c r="AI5" s="4">
        <v>0.2</v>
      </c>
      <c r="AJ5" s="4">
        <v>1.3</v>
      </c>
      <c r="AK5" s="4">
        <v>0.2</v>
      </c>
      <c r="AL5" s="4">
        <v>51.9</v>
      </c>
      <c r="AM5" s="4">
        <v>9.5</v>
      </c>
      <c r="AN5" s="4">
        <v>2.6</v>
      </c>
      <c r="AO5" s="4">
        <v>2</v>
      </c>
      <c r="AP5" s="4">
        <v>2</v>
      </c>
      <c r="AQ5" s="4">
        <v>5.2</v>
      </c>
      <c r="AR5" s="4">
        <v>2.1</v>
      </c>
      <c r="AS5" s="4">
        <v>5.7</v>
      </c>
      <c r="AT5" s="4">
        <v>0</v>
      </c>
      <c r="AU5">
        <v>71.5</v>
      </c>
      <c r="AV5">
        <v>0</v>
      </c>
      <c r="AW5">
        <v>2.2999999999999998</v>
      </c>
      <c r="AX5">
        <v>36.799999999999997</v>
      </c>
      <c r="AY5">
        <v>8.9</v>
      </c>
      <c r="AZ5">
        <v>0.2</v>
      </c>
      <c r="BA5">
        <v>0.8</v>
      </c>
      <c r="BB5">
        <v>49.6</v>
      </c>
      <c r="BC5">
        <v>-436.1</v>
      </c>
      <c r="BD5" s="10">
        <f t="shared" si="0"/>
        <v>-266</v>
      </c>
      <c r="BE5" s="10">
        <f t="shared" si="1"/>
        <v>395.90000000000009</v>
      </c>
      <c r="BG5" s="41"/>
      <c r="BI5" t="s">
        <v>226</v>
      </c>
    </row>
    <row r="6" spans="1:61" x14ac:dyDescent="0.3">
      <c r="A6" s="19" t="s">
        <v>58</v>
      </c>
      <c r="B6" s="2">
        <v>0.4</v>
      </c>
      <c r="C6" s="2">
        <v>0</v>
      </c>
      <c r="D6" s="2">
        <v>38</v>
      </c>
      <c r="E6" s="2">
        <v>0.6</v>
      </c>
      <c r="F6" s="2">
        <v>9.1999999999999993</v>
      </c>
      <c r="G6" s="3">
        <v>0.5</v>
      </c>
      <c r="H6" s="3">
        <v>0</v>
      </c>
      <c r="I6" s="3">
        <v>0.2</v>
      </c>
      <c r="J6" s="3">
        <v>0.1</v>
      </c>
      <c r="K6" s="3">
        <v>46.9</v>
      </c>
      <c r="L6" s="3">
        <v>1</v>
      </c>
      <c r="M6" s="3">
        <v>0.1</v>
      </c>
      <c r="N6" s="3">
        <v>0.7</v>
      </c>
      <c r="O6" s="3">
        <v>0.5</v>
      </c>
      <c r="P6" s="3">
        <v>2.9</v>
      </c>
      <c r="Q6" s="3">
        <v>0.1</v>
      </c>
      <c r="R6" s="3">
        <v>0.5</v>
      </c>
      <c r="S6" s="3">
        <v>0.2</v>
      </c>
      <c r="T6" s="3">
        <v>0.4</v>
      </c>
      <c r="U6" s="3">
        <v>1.8</v>
      </c>
      <c r="V6" s="3">
        <v>0.1</v>
      </c>
      <c r="W6" s="3">
        <v>0.5</v>
      </c>
      <c r="X6" s="3">
        <v>8</v>
      </c>
      <c r="Y6" s="3">
        <v>0.2</v>
      </c>
      <c r="Z6" s="3">
        <v>6.1</v>
      </c>
      <c r="AA6" s="4">
        <v>1.2</v>
      </c>
      <c r="AB6" s="4">
        <v>0.5</v>
      </c>
      <c r="AC6" s="4">
        <v>0</v>
      </c>
      <c r="AD6" s="4">
        <v>0</v>
      </c>
      <c r="AE6" s="4">
        <v>0.4</v>
      </c>
      <c r="AF6" s="4">
        <v>0</v>
      </c>
      <c r="AG6" s="4">
        <v>0.3</v>
      </c>
      <c r="AH6" s="4">
        <v>0.1</v>
      </c>
      <c r="AI6" s="4">
        <v>0.1</v>
      </c>
      <c r="AJ6" s="4">
        <v>0.1</v>
      </c>
      <c r="AK6" s="4">
        <v>0.2</v>
      </c>
      <c r="AL6" s="4">
        <v>0.5</v>
      </c>
      <c r="AM6" s="4">
        <v>0.8</v>
      </c>
      <c r="AN6" s="4">
        <v>0.3</v>
      </c>
      <c r="AO6" s="4">
        <v>0.4</v>
      </c>
      <c r="AP6" s="4">
        <v>0.3</v>
      </c>
      <c r="AQ6" s="4">
        <v>0.7</v>
      </c>
      <c r="AR6" s="4">
        <v>0.3</v>
      </c>
      <c r="AS6" s="4">
        <v>0.1</v>
      </c>
      <c r="AT6" s="4">
        <v>0</v>
      </c>
      <c r="AU6">
        <v>3.4</v>
      </c>
      <c r="AV6">
        <v>0</v>
      </c>
      <c r="AW6">
        <v>0.1</v>
      </c>
      <c r="AX6">
        <v>31.4</v>
      </c>
      <c r="AY6">
        <v>0.5</v>
      </c>
      <c r="AZ6">
        <v>0.1</v>
      </c>
      <c r="BA6">
        <v>0</v>
      </c>
      <c r="BB6">
        <v>54.3</v>
      </c>
      <c r="BC6">
        <v>-29.7</v>
      </c>
      <c r="BD6" s="10">
        <f t="shared" si="0"/>
        <v>60.099999999999994</v>
      </c>
      <c r="BE6" s="10">
        <f t="shared" si="1"/>
        <v>185.39999999999998</v>
      </c>
    </row>
    <row r="7" spans="1:61" x14ac:dyDescent="0.3">
      <c r="A7" s="19" t="s">
        <v>59</v>
      </c>
      <c r="B7" s="5">
        <v>954.6</v>
      </c>
      <c r="C7" s="5">
        <v>2.9</v>
      </c>
      <c r="D7" s="5">
        <v>1</v>
      </c>
      <c r="E7" s="5">
        <v>0.3</v>
      </c>
      <c r="F7" s="5">
        <v>0.1</v>
      </c>
      <c r="G7" s="6">
        <v>1373.7</v>
      </c>
      <c r="H7" s="6">
        <v>5</v>
      </c>
      <c r="I7" s="6">
        <v>2.2000000000000002</v>
      </c>
      <c r="J7" s="6">
        <v>17.3</v>
      </c>
      <c r="K7" s="6">
        <v>43.4</v>
      </c>
      <c r="L7" s="6">
        <v>26.2</v>
      </c>
      <c r="M7" s="6">
        <v>17.3</v>
      </c>
      <c r="N7" s="6">
        <v>15.5</v>
      </c>
      <c r="O7" s="6">
        <v>5.7</v>
      </c>
      <c r="P7" s="6">
        <v>4.7</v>
      </c>
      <c r="Q7" s="6">
        <v>6.3</v>
      </c>
      <c r="R7" s="6">
        <v>17.5</v>
      </c>
      <c r="S7" s="6">
        <v>10.199999999999999</v>
      </c>
      <c r="T7" s="6">
        <v>4.8</v>
      </c>
      <c r="U7" s="6">
        <v>18.2</v>
      </c>
      <c r="V7" s="6">
        <v>0.7</v>
      </c>
      <c r="W7" s="6">
        <v>5.5</v>
      </c>
      <c r="X7" s="6">
        <v>26.3</v>
      </c>
      <c r="Y7" s="6">
        <v>3.1</v>
      </c>
      <c r="Z7" s="6">
        <v>16.2</v>
      </c>
      <c r="AA7" s="7">
        <v>226</v>
      </c>
      <c r="AB7" s="7">
        <v>6.7</v>
      </c>
      <c r="AC7" s="7">
        <v>2.2999999999999998</v>
      </c>
      <c r="AD7" s="7">
        <v>4.9000000000000004</v>
      </c>
      <c r="AE7" s="7">
        <v>2</v>
      </c>
      <c r="AF7" s="7">
        <v>0.6</v>
      </c>
      <c r="AG7" s="7">
        <v>1300.4000000000001</v>
      </c>
      <c r="AH7" s="7">
        <v>2.2000000000000002</v>
      </c>
      <c r="AI7" s="7">
        <v>1.8</v>
      </c>
      <c r="AJ7" s="7">
        <v>1.7</v>
      </c>
      <c r="AK7" s="7">
        <v>4.9000000000000004</v>
      </c>
      <c r="AL7" s="7">
        <v>18</v>
      </c>
      <c r="AM7" s="7">
        <v>26.2</v>
      </c>
      <c r="AN7" s="7">
        <v>49.3</v>
      </c>
      <c r="AO7" s="7">
        <v>30.5</v>
      </c>
      <c r="AP7" s="7">
        <v>5.7</v>
      </c>
      <c r="AQ7" s="7">
        <v>131.9</v>
      </c>
      <c r="AR7" s="7">
        <v>11.6</v>
      </c>
      <c r="AS7" s="7">
        <v>14.1</v>
      </c>
      <c r="AT7" s="7">
        <v>0</v>
      </c>
      <c r="AU7">
        <v>9433.5</v>
      </c>
      <c r="AV7">
        <v>7.3</v>
      </c>
      <c r="AW7">
        <v>12.8</v>
      </c>
      <c r="AX7">
        <v>27</v>
      </c>
      <c r="AY7">
        <v>200</v>
      </c>
      <c r="AZ7">
        <v>71.5</v>
      </c>
      <c r="BA7">
        <v>202.6</v>
      </c>
      <c r="BB7">
        <v>3094.8</v>
      </c>
      <c r="BC7">
        <v>-2892.3</v>
      </c>
      <c r="BD7" s="10">
        <f t="shared" si="0"/>
        <v>10157.200000000001</v>
      </c>
      <c r="BE7" s="10">
        <f t="shared" si="1"/>
        <v>14576.7</v>
      </c>
    </row>
    <row r="8" spans="1:61" x14ac:dyDescent="0.3">
      <c r="A8" s="19" t="s">
        <v>60</v>
      </c>
      <c r="B8" s="5">
        <v>6.4</v>
      </c>
      <c r="C8" s="5">
        <v>0.1</v>
      </c>
      <c r="D8" s="5">
        <v>0.2</v>
      </c>
      <c r="E8" s="5">
        <v>0.3</v>
      </c>
      <c r="F8" s="5">
        <v>0.1</v>
      </c>
      <c r="G8" s="6">
        <v>12.5</v>
      </c>
      <c r="H8" s="6">
        <v>468.7</v>
      </c>
      <c r="I8" s="6">
        <v>1.7</v>
      </c>
      <c r="J8" s="6">
        <v>8.6</v>
      </c>
      <c r="K8" s="6">
        <v>2.2000000000000002</v>
      </c>
      <c r="L8" s="6">
        <v>4.5999999999999996</v>
      </c>
      <c r="M8" s="6">
        <v>3.5</v>
      </c>
      <c r="N8" s="6">
        <v>50.1</v>
      </c>
      <c r="O8" s="6">
        <v>5.9</v>
      </c>
      <c r="P8" s="6">
        <v>3.4</v>
      </c>
      <c r="Q8" s="6">
        <v>4.4000000000000004</v>
      </c>
      <c r="R8" s="6">
        <v>20.8</v>
      </c>
      <c r="S8" s="6">
        <v>13.3</v>
      </c>
      <c r="T8" s="6">
        <v>11.2</v>
      </c>
      <c r="U8" s="6">
        <v>117.3</v>
      </c>
      <c r="V8" s="6">
        <v>0.8</v>
      </c>
      <c r="W8" s="6">
        <v>72.3</v>
      </c>
      <c r="X8" s="6">
        <v>3.7</v>
      </c>
      <c r="Y8" s="6">
        <v>4</v>
      </c>
      <c r="Z8" s="6">
        <v>18.100000000000001</v>
      </c>
      <c r="AA8" s="7">
        <v>40.5</v>
      </c>
      <c r="AB8" s="7">
        <v>4.4000000000000004</v>
      </c>
      <c r="AC8" s="7">
        <v>0.2</v>
      </c>
      <c r="AD8" s="7">
        <v>0.6</v>
      </c>
      <c r="AE8" s="7">
        <v>2.4</v>
      </c>
      <c r="AF8" s="7">
        <v>1.3</v>
      </c>
      <c r="AG8" s="7">
        <v>7.9</v>
      </c>
      <c r="AH8" s="7">
        <v>1.2</v>
      </c>
      <c r="AI8" s="7">
        <v>1.9</v>
      </c>
      <c r="AJ8" s="7">
        <v>1.4</v>
      </c>
      <c r="AK8" s="7">
        <v>2.4</v>
      </c>
      <c r="AL8" s="7">
        <v>5.4</v>
      </c>
      <c r="AM8" s="7">
        <v>5.8</v>
      </c>
      <c r="AN8" s="7">
        <v>9.6999999999999993</v>
      </c>
      <c r="AO8" s="7">
        <v>9.9</v>
      </c>
      <c r="AP8" s="7">
        <v>2.2999999999999998</v>
      </c>
      <c r="AQ8" s="7">
        <v>18.899999999999999</v>
      </c>
      <c r="AR8" s="7">
        <v>6.6</v>
      </c>
      <c r="AS8" s="7">
        <v>22.7</v>
      </c>
      <c r="AT8" s="7">
        <v>0</v>
      </c>
      <c r="AU8">
        <v>1170.9000000000001</v>
      </c>
      <c r="AV8">
        <v>0</v>
      </c>
      <c r="AW8">
        <v>7</v>
      </c>
      <c r="AX8">
        <v>25.8</v>
      </c>
      <c r="AY8">
        <v>34.799999999999997</v>
      </c>
      <c r="AZ8">
        <v>34.799999999999997</v>
      </c>
      <c r="BA8">
        <v>75.099999999999994</v>
      </c>
      <c r="BB8">
        <v>1105.2</v>
      </c>
      <c r="BC8">
        <v>-1202.9000000000001</v>
      </c>
      <c r="BD8" s="10">
        <f t="shared" si="0"/>
        <v>1250.6999999999998</v>
      </c>
      <c r="BE8" s="10">
        <f t="shared" si="1"/>
        <v>2230.4</v>
      </c>
    </row>
    <row r="9" spans="1:61" x14ac:dyDescent="0.3">
      <c r="A9" s="19" t="s">
        <v>61</v>
      </c>
      <c r="B9" s="5">
        <v>29.5</v>
      </c>
      <c r="C9" s="5">
        <v>0.1</v>
      </c>
      <c r="D9" s="5">
        <v>0.1</v>
      </c>
      <c r="E9" s="5">
        <v>0.2</v>
      </c>
      <c r="F9" s="5">
        <v>0</v>
      </c>
      <c r="G9" s="6">
        <v>27.3</v>
      </c>
      <c r="H9" s="6">
        <v>5.7</v>
      </c>
      <c r="I9" s="6">
        <v>312.5</v>
      </c>
      <c r="J9" s="6">
        <v>7</v>
      </c>
      <c r="K9" s="6">
        <v>2.2000000000000002</v>
      </c>
      <c r="L9" s="6">
        <v>16</v>
      </c>
      <c r="M9" s="6">
        <v>1.6</v>
      </c>
      <c r="N9" s="6">
        <v>18.2</v>
      </c>
      <c r="O9" s="6">
        <v>33.4</v>
      </c>
      <c r="P9" s="6">
        <v>10.1</v>
      </c>
      <c r="Q9" s="6">
        <v>30</v>
      </c>
      <c r="R9" s="6">
        <v>23.1</v>
      </c>
      <c r="S9" s="6">
        <v>23.4</v>
      </c>
      <c r="T9" s="6">
        <v>15.8</v>
      </c>
      <c r="U9" s="6">
        <v>46.1</v>
      </c>
      <c r="V9" s="6">
        <v>2.7</v>
      </c>
      <c r="W9" s="6">
        <v>177.4</v>
      </c>
      <c r="X9" s="6">
        <v>22.1</v>
      </c>
      <c r="Y9" s="6">
        <v>2.8</v>
      </c>
      <c r="Z9" s="6">
        <v>366.8</v>
      </c>
      <c r="AA9" s="7">
        <v>84.1</v>
      </c>
      <c r="AB9" s="7">
        <v>11.4</v>
      </c>
      <c r="AC9" s="7">
        <v>0.5</v>
      </c>
      <c r="AD9" s="7">
        <v>0.6</v>
      </c>
      <c r="AE9" s="7">
        <v>2.2000000000000002</v>
      </c>
      <c r="AF9" s="7">
        <v>0.3</v>
      </c>
      <c r="AG9" s="7">
        <v>6</v>
      </c>
      <c r="AH9" s="7">
        <v>0.8</v>
      </c>
      <c r="AI9" s="7">
        <v>2.8</v>
      </c>
      <c r="AJ9" s="7">
        <v>0.4</v>
      </c>
      <c r="AK9" s="7">
        <v>1.2</v>
      </c>
      <c r="AL9" s="7">
        <v>72.400000000000006</v>
      </c>
      <c r="AM9" s="7">
        <v>20.9</v>
      </c>
      <c r="AN9" s="7">
        <v>10.3</v>
      </c>
      <c r="AO9" s="7">
        <v>3.3</v>
      </c>
      <c r="AP9" s="7">
        <v>0.7</v>
      </c>
      <c r="AQ9" s="7">
        <v>3.4</v>
      </c>
      <c r="AR9" s="7">
        <v>1.6</v>
      </c>
      <c r="AS9" s="7">
        <v>6</v>
      </c>
      <c r="AT9" s="7">
        <v>0</v>
      </c>
      <c r="AU9">
        <v>60.3</v>
      </c>
      <c r="AV9">
        <v>0</v>
      </c>
      <c r="AW9">
        <v>3</v>
      </c>
      <c r="AX9">
        <v>44.5</v>
      </c>
      <c r="AY9">
        <v>22.4</v>
      </c>
      <c r="AZ9">
        <v>3.8</v>
      </c>
      <c r="BA9">
        <v>7.1</v>
      </c>
      <c r="BB9">
        <v>594.5</v>
      </c>
      <c r="BC9">
        <v>-630.1</v>
      </c>
      <c r="BD9" s="10">
        <f t="shared" si="0"/>
        <v>105.5</v>
      </c>
      <c r="BE9" s="10">
        <f t="shared" si="1"/>
        <v>1508.5</v>
      </c>
    </row>
    <row r="10" spans="1:61" x14ac:dyDescent="0.3">
      <c r="A10" s="19" t="s">
        <v>62</v>
      </c>
      <c r="B10" s="5">
        <v>29.8</v>
      </c>
      <c r="C10" s="5">
        <v>0.1</v>
      </c>
      <c r="D10" s="5">
        <v>0.1</v>
      </c>
      <c r="E10" s="5">
        <v>0.5</v>
      </c>
      <c r="F10" s="5">
        <v>0</v>
      </c>
      <c r="G10" s="6">
        <v>311.5</v>
      </c>
      <c r="H10" s="6">
        <v>13.5</v>
      </c>
      <c r="I10" s="6">
        <v>30</v>
      </c>
      <c r="J10" s="6">
        <v>940.4</v>
      </c>
      <c r="K10" s="6">
        <v>3.7</v>
      </c>
      <c r="L10" s="6">
        <v>48.8</v>
      </c>
      <c r="M10" s="6">
        <v>25.7</v>
      </c>
      <c r="N10" s="6">
        <v>62.1</v>
      </c>
      <c r="O10" s="6">
        <v>25.9</v>
      </c>
      <c r="P10" s="6">
        <v>6.3</v>
      </c>
      <c r="Q10" s="6">
        <v>15.8</v>
      </c>
      <c r="R10" s="6">
        <v>78.099999999999994</v>
      </c>
      <c r="S10" s="6">
        <v>82.1</v>
      </c>
      <c r="T10" s="6">
        <v>14.6</v>
      </c>
      <c r="U10" s="6">
        <v>38.1</v>
      </c>
      <c r="V10" s="6">
        <v>1.5</v>
      </c>
      <c r="W10" s="6">
        <v>31.9</v>
      </c>
      <c r="X10" s="6">
        <v>17.2</v>
      </c>
      <c r="Y10" s="6">
        <v>4</v>
      </c>
      <c r="Z10" s="6">
        <v>17.100000000000001</v>
      </c>
      <c r="AA10" s="7">
        <v>432.9</v>
      </c>
      <c r="AB10" s="7">
        <v>14.1</v>
      </c>
      <c r="AC10" s="7">
        <v>0.2</v>
      </c>
      <c r="AD10" s="7">
        <v>1.1000000000000001</v>
      </c>
      <c r="AE10" s="7">
        <v>13.4</v>
      </c>
      <c r="AF10" s="7">
        <v>7.7</v>
      </c>
      <c r="AG10" s="7">
        <v>15</v>
      </c>
      <c r="AH10" s="7">
        <v>348.6</v>
      </c>
      <c r="AI10" s="7">
        <v>7.5</v>
      </c>
      <c r="AJ10" s="7">
        <v>13.4</v>
      </c>
      <c r="AK10" s="7">
        <v>109.3</v>
      </c>
      <c r="AL10" s="7">
        <v>69.400000000000006</v>
      </c>
      <c r="AM10" s="7">
        <v>70.599999999999994</v>
      </c>
      <c r="AN10" s="7">
        <v>48.6</v>
      </c>
      <c r="AO10" s="7">
        <v>91.3</v>
      </c>
      <c r="AP10" s="7">
        <v>27.5</v>
      </c>
      <c r="AQ10" s="7">
        <v>14.7</v>
      </c>
      <c r="AR10" s="7">
        <v>13.3</v>
      </c>
      <c r="AS10" s="7">
        <v>16.8</v>
      </c>
      <c r="AT10" s="7">
        <v>0</v>
      </c>
      <c r="AU10">
        <v>407.1</v>
      </c>
      <c r="AV10">
        <v>0</v>
      </c>
      <c r="AW10">
        <v>4.8</v>
      </c>
      <c r="AX10">
        <v>22.7</v>
      </c>
      <c r="AY10">
        <v>43.4</v>
      </c>
      <c r="AZ10">
        <v>9.1999999999999993</v>
      </c>
      <c r="BA10">
        <v>18.100000000000001</v>
      </c>
      <c r="BB10">
        <v>739.5</v>
      </c>
      <c r="BC10">
        <v>-1389.2</v>
      </c>
      <c r="BD10" s="10">
        <f t="shared" si="0"/>
        <v>-144.40000000000009</v>
      </c>
      <c r="BE10" s="10">
        <f t="shared" si="1"/>
        <v>2969.8</v>
      </c>
    </row>
    <row r="11" spans="1:61" x14ac:dyDescent="0.3">
      <c r="A11" s="19" t="s">
        <v>63</v>
      </c>
      <c r="B11" s="5">
        <v>447</v>
      </c>
      <c r="C11" s="5">
        <v>2.4</v>
      </c>
      <c r="D11" s="5">
        <v>8.1</v>
      </c>
      <c r="E11" s="5">
        <v>16.2</v>
      </c>
      <c r="F11" s="5">
        <v>6.1</v>
      </c>
      <c r="G11" s="6">
        <v>153.80000000000001</v>
      </c>
      <c r="H11" s="6">
        <v>13.7</v>
      </c>
      <c r="I11" s="6">
        <v>15.8</v>
      </c>
      <c r="J11" s="6">
        <v>20.9</v>
      </c>
      <c r="K11" s="6">
        <v>899</v>
      </c>
      <c r="L11" s="6">
        <v>858.9</v>
      </c>
      <c r="M11" s="6">
        <v>37.5</v>
      </c>
      <c r="N11" s="6">
        <v>83.4</v>
      </c>
      <c r="O11" s="6">
        <v>121.8</v>
      </c>
      <c r="P11" s="6">
        <v>201.3</v>
      </c>
      <c r="Q11" s="6">
        <v>33.200000000000003</v>
      </c>
      <c r="R11" s="6">
        <v>61.1</v>
      </c>
      <c r="S11" s="6">
        <v>51.3</v>
      </c>
      <c r="T11" s="6">
        <v>30.2</v>
      </c>
      <c r="U11" s="6">
        <v>77.599999999999994</v>
      </c>
      <c r="V11" s="6">
        <v>4.3</v>
      </c>
      <c r="W11" s="6">
        <v>24.8</v>
      </c>
      <c r="X11" s="6">
        <v>319.89999999999998</v>
      </c>
      <c r="Y11" s="6">
        <v>67.8</v>
      </c>
      <c r="Z11" s="6">
        <v>372.9</v>
      </c>
      <c r="AA11" s="7">
        <v>550.4</v>
      </c>
      <c r="AB11" s="7">
        <v>1165.4000000000001</v>
      </c>
      <c r="AC11" s="7">
        <v>46.1</v>
      </c>
      <c r="AD11" s="7">
        <v>253.5</v>
      </c>
      <c r="AE11" s="7">
        <v>174.8</v>
      </c>
      <c r="AF11" s="7">
        <v>12.1</v>
      </c>
      <c r="AG11" s="7">
        <v>35.299999999999997</v>
      </c>
      <c r="AH11" s="7">
        <v>8.6</v>
      </c>
      <c r="AI11" s="7">
        <v>13.3</v>
      </c>
      <c r="AJ11" s="7">
        <v>14.4</v>
      </c>
      <c r="AK11" s="7">
        <v>52</v>
      </c>
      <c r="AL11" s="7">
        <v>100</v>
      </c>
      <c r="AM11" s="7">
        <v>99.5</v>
      </c>
      <c r="AN11" s="7">
        <v>94.2</v>
      </c>
      <c r="AO11" s="7">
        <v>91.8</v>
      </c>
      <c r="AP11" s="7">
        <v>40.6</v>
      </c>
      <c r="AQ11" s="7">
        <v>74.400000000000006</v>
      </c>
      <c r="AR11" s="7">
        <v>32.200000000000003</v>
      </c>
      <c r="AS11" s="7">
        <v>31</v>
      </c>
      <c r="AT11" s="7">
        <v>0</v>
      </c>
      <c r="AU11">
        <v>2877.3</v>
      </c>
      <c r="AV11">
        <v>0.1</v>
      </c>
      <c r="AW11">
        <v>18.5</v>
      </c>
      <c r="AX11">
        <v>97.9</v>
      </c>
      <c r="AY11">
        <v>112.1</v>
      </c>
      <c r="AZ11">
        <v>28.5</v>
      </c>
      <c r="BA11">
        <v>76.400000000000006</v>
      </c>
      <c r="BB11">
        <v>1918.8</v>
      </c>
      <c r="BC11">
        <v>-2330</v>
      </c>
      <c r="BD11" s="10">
        <f t="shared" si="0"/>
        <v>2799.6000000000004</v>
      </c>
      <c r="BE11" s="10">
        <f t="shared" si="1"/>
        <v>9618.2000000000007</v>
      </c>
    </row>
    <row r="12" spans="1:61" x14ac:dyDescent="0.3">
      <c r="A12" s="19" t="s">
        <v>64</v>
      </c>
      <c r="B12" s="5">
        <v>742.5</v>
      </c>
      <c r="C12" s="5">
        <v>0.1</v>
      </c>
      <c r="D12" s="5">
        <v>1.2</v>
      </c>
      <c r="E12" s="5">
        <v>5.3</v>
      </c>
      <c r="F12" s="5">
        <v>3</v>
      </c>
      <c r="G12" s="6">
        <v>384.9</v>
      </c>
      <c r="H12" s="6">
        <v>58.6</v>
      </c>
      <c r="I12" s="6">
        <v>45.4</v>
      </c>
      <c r="J12" s="6">
        <v>62.6</v>
      </c>
      <c r="K12" s="6">
        <v>335.2</v>
      </c>
      <c r="L12" s="6">
        <v>909.8</v>
      </c>
      <c r="M12" s="6">
        <v>283.8</v>
      </c>
      <c r="N12" s="6">
        <v>988.7</v>
      </c>
      <c r="O12" s="6">
        <v>201.5</v>
      </c>
      <c r="P12" s="6">
        <v>43.3</v>
      </c>
      <c r="Q12" s="6">
        <v>58.6</v>
      </c>
      <c r="R12" s="6">
        <v>171</v>
      </c>
      <c r="S12" s="6">
        <v>302.39999999999998</v>
      </c>
      <c r="T12" s="6">
        <v>46.6</v>
      </c>
      <c r="U12" s="6">
        <v>183.7</v>
      </c>
      <c r="V12" s="6">
        <v>6.1</v>
      </c>
      <c r="W12" s="6">
        <v>60.9</v>
      </c>
      <c r="X12" s="6">
        <v>67.400000000000006</v>
      </c>
      <c r="Y12" s="6">
        <v>31.1</v>
      </c>
      <c r="Z12" s="6">
        <v>188</v>
      </c>
      <c r="AA12" s="7">
        <v>245.3</v>
      </c>
      <c r="AB12" s="7">
        <v>38.299999999999997</v>
      </c>
      <c r="AC12" s="7">
        <v>2.1</v>
      </c>
      <c r="AD12" s="7">
        <v>4.2</v>
      </c>
      <c r="AE12" s="7">
        <v>14.2</v>
      </c>
      <c r="AF12" s="7">
        <v>2.8</v>
      </c>
      <c r="AG12" s="7">
        <v>33.5</v>
      </c>
      <c r="AH12" s="7">
        <v>10.1</v>
      </c>
      <c r="AI12" s="7">
        <v>2.4</v>
      </c>
      <c r="AJ12" s="7">
        <v>4.5999999999999996</v>
      </c>
      <c r="AK12" s="7">
        <v>14.3</v>
      </c>
      <c r="AL12" s="7">
        <v>66.400000000000006</v>
      </c>
      <c r="AM12" s="7">
        <v>73.400000000000006</v>
      </c>
      <c r="AN12" s="7">
        <v>58.6</v>
      </c>
      <c r="AO12" s="7">
        <v>22.8</v>
      </c>
      <c r="AP12" s="7">
        <v>27</v>
      </c>
      <c r="AQ12" s="7">
        <v>168</v>
      </c>
      <c r="AR12" s="7">
        <v>32.4</v>
      </c>
      <c r="AS12" s="7">
        <v>44.8</v>
      </c>
      <c r="AT12" s="7">
        <v>0</v>
      </c>
      <c r="AU12">
        <v>706.9</v>
      </c>
      <c r="AV12">
        <v>0</v>
      </c>
      <c r="AW12">
        <v>17.5</v>
      </c>
      <c r="AX12">
        <v>38.299999999999997</v>
      </c>
      <c r="AY12">
        <v>102.1</v>
      </c>
      <c r="AZ12">
        <v>9.1</v>
      </c>
      <c r="BA12">
        <v>14.8</v>
      </c>
      <c r="BB12">
        <v>3106.3</v>
      </c>
      <c r="BC12">
        <v>-4580.3999999999996</v>
      </c>
      <c r="BD12" s="10">
        <f t="shared" si="0"/>
        <v>-585.39999999999964</v>
      </c>
      <c r="BE12" s="10">
        <f t="shared" si="1"/>
        <v>5461.5000000000018</v>
      </c>
    </row>
    <row r="13" spans="1:61" x14ac:dyDescent="0.3">
      <c r="A13" s="19" t="s">
        <v>65</v>
      </c>
      <c r="B13" s="5">
        <v>54.7</v>
      </c>
      <c r="C13" s="5">
        <v>0.1</v>
      </c>
      <c r="D13" s="5">
        <v>0.2</v>
      </c>
      <c r="E13" s="5">
        <v>0.3</v>
      </c>
      <c r="F13" s="5">
        <v>0.2</v>
      </c>
      <c r="G13" s="6">
        <v>38.1</v>
      </c>
      <c r="H13" s="6">
        <v>4.0999999999999996</v>
      </c>
      <c r="I13" s="6">
        <v>2.2000000000000002</v>
      </c>
      <c r="J13" s="6">
        <v>3.5</v>
      </c>
      <c r="K13" s="6">
        <v>13.4</v>
      </c>
      <c r="L13" s="6">
        <v>35.700000000000003</v>
      </c>
      <c r="M13" s="6">
        <v>228.1</v>
      </c>
      <c r="N13" s="6">
        <v>36.1</v>
      </c>
      <c r="O13" s="6">
        <v>8.3000000000000007</v>
      </c>
      <c r="P13" s="6">
        <v>8.5</v>
      </c>
      <c r="Q13" s="6">
        <v>4.0999999999999996</v>
      </c>
      <c r="R13" s="6">
        <v>24.5</v>
      </c>
      <c r="S13" s="6">
        <v>15.9</v>
      </c>
      <c r="T13" s="6">
        <v>4.4000000000000004</v>
      </c>
      <c r="U13" s="6">
        <v>27.7</v>
      </c>
      <c r="V13" s="6">
        <v>0.5</v>
      </c>
      <c r="W13" s="6">
        <v>4.3</v>
      </c>
      <c r="X13" s="6">
        <v>5.5</v>
      </c>
      <c r="Y13" s="6">
        <v>2</v>
      </c>
      <c r="Z13" s="6">
        <v>14</v>
      </c>
      <c r="AA13" s="7">
        <v>29.2</v>
      </c>
      <c r="AB13" s="7">
        <v>5</v>
      </c>
      <c r="AC13" s="7">
        <v>0.4</v>
      </c>
      <c r="AD13" s="7">
        <v>1.4</v>
      </c>
      <c r="AE13" s="7">
        <v>1.8</v>
      </c>
      <c r="AF13" s="7">
        <v>0.3</v>
      </c>
      <c r="AG13" s="7">
        <v>4.8</v>
      </c>
      <c r="AH13" s="7">
        <v>1.8</v>
      </c>
      <c r="AI13" s="7">
        <v>1.5</v>
      </c>
      <c r="AJ13" s="7">
        <v>2</v>
      </c>
      <c r="AK13" s="7">
        <v>3.3</v>
      </c>
      <c r="AL13" s="7">
        <v>6.2</v>
      </c>
      <c r="AM13" s="7">
        <v>15.8</v>
      </c>
      <c r="AN13" s="7">
        <v>6.2</v>
      </c>
      <c r="AO13" s="7">
        <v>5.7</v>
      </c>
      <c r="AP13" s="7">
        <v>3</v>
      </c>
      <c r="AQ13" s="7">
        <v>395.6</v>
      </c>
      <c r="AR13" s="7">
        <v>4.8</v>
      </c>
      <c r="AS13" s="7">
        <v>4.7</v>
      </c>
      <c r="AT13" s="7">
        <v>0</v>
      </c>
      <c r="AU13">
        <v>816.4</v>
      </c>
      <c r="AV13">
        <v>1.4</v>
      </c>
      <c r="AW13">
        <v>1268.5999999999999</v>
      </c>
      <c r="AX13">
        <v>49.5</v>
      </c>
      <c r="AY13">
        <v>47.5</v>
      </c>
      <c r="AZ13">
        <v>5.9</v>
      </c>
      <c r="BA13">
        <v>13</v>
      </c>
      <c r="BB13">
        <v>1864.4</v>
      </c>
      <c r="BC13">
        <v>-1574.1</v>
      </c>
      <c r="BD13" s="10">
        <f t="shared" si="0"/>
        <v>2492.6</v>
      </c>
      <c r="BE13" s="10">
        <f t="shared" si="1"/>
        <v>3522.5000000000005</v>
      </c>
    </row>
    <row r="14" spans="1:61" x14ac:dyDescent="0.3">
      <c r="A14" s="19" t="s">
        <v>66</v>
      </c>
      <c r="B14" s="5">
        <v>65.2</v>
      </c>
      <c r="C14" s="5">
        <v>0.3</v>
      </c>
      <c r="D14" s="5">
        <v>0.5</v>
      </c>
      <c r="E14" s="5">
        <v>0.9</v>
      </c>
      <c r="F14" s="5">
        <v>0.6</v>
      </c>
      <c r="G14" s="6">
        <v>299.5</v>
      </c>
      <c r="H14" s="6">
        <v>70.7</v>
      </c>
      <c r="I14" s="6">
        <v>50</v>
      </c>
      <c r="J14" s="6">
        <v>64.400000000000006</v>
      </c>
      <c r="K14" s="6">
        <v>8.6999999999999993</v>
      </c>
      <c r="L14" s="6">
        <v>98.5</v>
      </c>
      <c r="M14" s="6">
        <v>43.9</v>
      </c>
      <c r="N14" s="6">
        <v>610.70000000000005</v>
      </c>
      <c r="O14" s="6">
        <v>47.7</v>
      </c>
      <c r="P14" s="6">
        <v>12.7</v>
      </c>
      <c r="Q14" s="6">
        <v>61.7</v>
      </c>
      <c r="R14" s="6">
        <v>909.3</v>
      </c>
      <c r="S14" s="6">
        <v>320.2</v>
      </c>
      <c r="T14" s="6">
        <v>75.3</v>
      </c>
      <c r="U14" s="6">
        <v>773.5</v>
      </c>
      <c r="V14" s="6">
        <v>8.8000000000000007</v>
      </c>
      <c r="W14" s="6">
        <v>142.4</v>
      </c>
      <c r="X14" s="6">
        <v>20.7</v>
      </c>
      <c r="Y14" s="6">
        <v>41.6</v>
      </c>
      <c r="Z14" s="6">
        <v>395.8</v>
      </c>
      <c r="AA14" s="7">
        <v>132.69999999999999</v>
      </c>
      <c r="AB14" s="7">
        <v>70.400000000000006</v>
      </c>
      <c r="AC14" s="7">
        <v>0.4</v>
      </c>
      <c r="AD14" s="7">
        <v>0.9</v>
      </c>
      <c r="AE14" s="7">
        <v>18.8</v>
      </c>
      <c r="AF14" s="7">
        <v>1.8</v>
      </c>
      <c r="AG14" s="7">
        <v>11.3</v>
      </c>
      <c r="AH14" s="7">
        <v>4.8</v>
      </c>
      <c r="AI14" s="7">
        <v>3.7</v>
      </c>
      <c r="AJ14" s="7">
        <v>1.3</v>
      </c>
      <c r="AK14" s="7">
        <v>22.6</v>
      </c>
      <c r="AL14" s="7">
        <v>49.6</v>
      </c>
      <c r="AM14" s="7">
        <v>41.9</v>
      </c>
      <c r="AN14" s="7">
        <v>25.1</v>
      </c>
      <c r="AO14" s="7">
        <v>29.2</v>
      </c>
      <c r="AP14" s="7">
        <v>2.6</v>
      </c>
      <c r="AQ14" s="7">
        <v>49.1</v>
      </c>
      <c r="AR14" s="7">
        <v>4.9000000000000004</v>
      </c>
      <c r="AS14" s="7">
        <v>4.8</v>
      </c>
      <c r="AT14" s="7">
        <v>0</v>
      </c>
      <c r="AU14">
        <v>407</v>
      </c>
      <c r="AV14">
        <v>0</v>
      </c>
      <c r="AW14">
        <v>9.6999999999999993</v>
      </c>
      <c r="AX14">
        <v>85.5</v>
      </c>
      <c r="AY14">
        <v>80.099999999999994</v>
      </c>
      <c r="AZ14">
        <v>1.3</v>
      </c>
      <c r="BA14">
        <v>9.1</v>
      </c>
      <c r="BB14">
        <v>2894.6</v>
      </c>
      <c r="BC14">
        <v>-2845.5</v>
      </c>
      <c r="BD14" s="10">
        <f t="shared" si="0"/>
        <v>641.79999999999973</v>
      </c>
      <c r="BE14" s="10">
        <f t="shared" si="1"/>
        <v>5241.3000000000011</v>
      </c>
    </row>
    <row r="15" spans="1:61" x14ac:dyDescent="0.3">
      <c r="A15" s="19" t="s">
        <v>67</v>
      </c>
      <c r="B15" s="5">
        <v>33.799999999999997</v>
      </c>
      <c r="C15" s="5">
        <v>0.2</v>
      </c>
      <c r="D15" s="5">
        <v>0.2</v>
      </c>
      <c r="E15" s="5">
        <v>8.1</v>
      </c>
      <c r="F15" s="5">
        <v>1.6</v>
      </c>
      <c r="G15" s="6">
        <v>107.6</v>
      </c>
      <c r="H15" s="6">
        <v>6.2</v>
      </c>
      <c r="I15" s="6">
        <v>12.2</v>
      </c>
      <c r="J15" s="6">
        <v>3.2</v>
      </c>
      <c r="K15" s="6">
        <v>6.1</v>
      </c>
      <c r="L15" s="6">
        <v>15.2</v>
      </c>
      <c r="M15" s="6">
        <v>15.1</v>
      </c>
      <c r="N15" s="6">
        <v>25.3</v>
      </c>
      <c r="O15" s="6">
        <v>524.70000000000005</v>
      </c>
      <c r="P15" s="6">
        <v>18.100000000000001</v>
      </c>
      <c r="Q15" s="6">
        <v>14.1</v>
      </c>
      <c r="R15" s="6">
        <v>64.2</v>
      </c>
      <c r="S15" s="6">
        <v>77.900000000000006</v>
      </c>
      <c r="T15" s="6">
        <v>25.2</v>
      </c>
      <c r="U15" s="6">
        <v>207.8</v>
      </c>
      <c r="V15" s="6">
        <v>2.8</v>
      </c>
      <c r="W15" s="6">
        <v>16.3</v>
      </c>
      <c r="X15" s="6">
        <v>32.799999999999997</v>
      </c>
      <c r="Y15" s="6">
        <v>12.6</v>
      </c>
      <c r="Z15" s="6">
        <v>1553.7</v>
      </c>
      <c r="AA15" s="7">
        <v>112.1</v>
      </c>
      <c r="AB15" s="7">
        <v>8.5</v>
      </c>
      <c r="AC15" s="7">
        <v>1.9</v>
      </c>
      <c r="AD15" s="7">
        <v>1</v>
      </c>
      <c r="AE15" s="7">
        <v>14</v>
      </c>
      <c r="AF15" s="7">
        <v>0.3</v>
      </c>
      <c r="AG15" s="7">
        <v>9.8000000000000007</v>
      </c>
      <c r="AH15" s="7">
        <v>0.8</v>
      </c>
      <c r="AI15" s="7">
        <v>6.1</v>
      </c>
      <c r="AJ15" s="7">
        <v>1.2</v>
      </c>
      <c r="AK15" s="7">
        <v>3.3</v>
      </c>
      <c r="AL15" s="7">
        <v>308</v>
      </c>
      <c r="AM15" s="7">
        <v>34.1</v>
      </c>
      <c r="AN15" s="7">
        <v>13.2</v>
      </c>
      <c r="AO15" s="7">
        <v>8.1</v>
      </c>
      <c r="AP15" s="7">
        <v>2.6</v>
      </c>
      <c r="AQ15" s="7">
        <v>17.399999999999999</v>
      </c>
      <c r="AR15" s="7">
        <v>1.9</v>
      </c>
      <c r="AS15" s="7">
        <v>2.7</v>
      </c>
      <c r="AT15" s="7">
        <v>0</v>
      </c>
      <c r="AU15">
        <v>162.9</v>
      </c>
      <c r="AV15">
        <v>0</v>
      </c>
      <c r="AW15">
        <v>6.6</v>
      </c>
      <c r="AX15">
        <v>334.7</v>
      </c>
      <c r="AY15">
        <v>47.9</v>
      </c>
      <c r="AZ15">
        <v>1</v>
      </c>
      <c r="BA15">
        <v>2.2000000000000002</v>
      </c>
      <c r="BB15">
        <v>1332</v>
      </c>
      <c r="BC15">
        <v>-1045.0999999999999</v>
      </c>
      <c r="BD15" s="10">
        <f t="shared" si="0"/>
        <v>842.20000000000027</v>
      </c>
      <c r="BE15" s="10">
        <f t="shared" si="1"/>
        <v>4174.1999999999989</v>
      </c>
    </row>
    <row r="16" spans="1:61" x14ac:dyDescent="0.3">
      <c r="A16" s="19" t="s">
        <v>68</v>
      </c>
      <c r="B16" s="5">
        <v>26.9</v>
      </c>
      <c r="C16" s="5">
        <v>0.1</v>
      </c>
      <c r="D16" s="5">
        <v>4.9000000000000004</v>
      </c>
      <c r="E16" s="5">
        <v>7.2</v>
      </c>
      <c r="F16" s="5">
        <v>13</v>
      </c>
      <c r="G16" s="6">
        <v>39.9</v>
      </c>
      <c r="H16" s="6">
        <v>3.6</v>
      </c>
      <c r="I16" s="6">
        <v>50.4</v>
      </c>
      <c r="J16" s="6">
        <v>6.9</v>
      </c>
      <c r="K16" s="6">
        <v>30.4</v>
      </c>
      <c r="L16" s="6">
        <v>44.9</v>
      </c>
      <c r="M16" s="6">
        <v>15</v>
      </c>
      <c r="N16" s="6">
        <v>95</v>
      </c>
      <c r="O16" s="6">
        <v>101.5</v>
      </c>
      <c r="P16" s="6">
        <v>1543.6</v>
      </c>
      <c r="Q16" s="6">
        <v>1349.5</v>
      </c>
      <c r="R16" s="6">
        <v>129.1</v>
      </c>
      <c r="S16" s="6">
        <v>1008.4</v>
      </c>
      <c r="T16" s="6">
        <v>488.5</v>
      </c>
      <c r="U16" s="6">
        <v>629</v>
      </c>
      <c r="V16" s="6">
        <v>60.9</v>
      </c>
      <c r="W16" s="6">
        <v>119.9</v>
      </c>
      <c r="X16" s="6">
        <v>36.799999999999997</v>
      </c>
      <c r="Y16" s="6">
        <v>29.5</v>
      </c>
      <c r="Z16" s="6">
        <v>724.8</v>
      </c>
      <c r="AA16" s="7">
        <v>143.6</v>
      </c>
      <c r="AB16" s="7">
        <v>157.4</v>
      </c>
      <c r="AC16" s="7">
        <v>0.9</v>
      </c>
      <c r="AD16" s="7">
        <v>0.1</v>
      </c>
      <c r="AE16" s="7">
        <v>12.1</v>
      </c>
      <c r="AF16" s="7">
        <v>0</v>
      </c>
      <c r="AG16" s="7">
        <v>0.8</v>
      </c>
      <c r="AH16" s="7">
        <v>0.3</v>
      </c>
      <c r="AI16" s="7">
        <v>0.5</v>
      </c>
      <c r="AJ16" s="7">
        <v>1.1000000000000001</v>
      </c>
      <c r="AK16" s="7">
        <v>0.3</v>
      </c>
      <c r="AL16" s="7">
        <v>84.3</v>
      </c>
      <c r="AM16" s="7">
        <v>109.9</v>
      </c>
      <c r="AN16" s="7">
        <v>136.30000000000001</v>
      </c>
      <c r="AO16" s="7">
        <v>0.1</v>
      </c>
      <c r="AP16" s="7">
        <v>0.3</v>
      </c>
      <c r="AQ16" s="7">
        <v>2.4</v>
      </c>
      <c r="AR16" s="7">
        <v>0.5</v>
      </c>
      <c r="AS16" s="7">
        <v>7.2</v>
      </c>
      <c r="AT16" s="7">
        <v>0</v>
      </c>
      <c r="AU16">
        <v>3.1</v>
      </c>
      <c r="AV16">
        <v>0</v>
      </c>
      <c r="AW16">
        <v>0.1</v>
      </c>
      <c r="AX16">
        <v>4</v>
      </c>
      <c r="AY16">
        <v>115.1</v>
      </c>
      <c r="AZ16">
        <v>0.1</v>
      </c>
      <c r="BA16">
        <v>0</v>
      </c>
      <c r="BB16">
        <v>2466.5</v>
      </c>
      <c r="BC16">
        <v>-5041.1000000000004</v>
      </c>
      <c r="BD16" s="10">
        <f t="shared" si="0"/>
        <v>-2452.2000000000003</v>
      </c>
      <c r="BE16" s="10">
        <f t="shared" si="1"/>
        <v>4765.6000000000022</v>
      </c>
    </row>
    <row r="17" spans="1:57" x14ac:dyDescent="0.3">
      <c r="A17" s="19" t="s">
        <v>69</v>
      </c>
      <c r="B17" s="5">
        <v>31.2</v>
      </c>
      <c r="C17" s="5">
        <v>0.2</v>
      </c>
      <c r="D17" s="5">
        <v>0.5</v>
      </c>
      <c r="E17" s="5">
        <v>1.5</v>
      </c>
      <c r="F17" s="5">
        <v>1</v>
      </c>
      <c r="G17" s="6">
        <v>277.3</v>
      </c>
      <c r="H17" s="6">
        <v>24.1</v>
      </c>
      <c r="I17" s="6">
        <v>39.200000000000003</v>
      </c>
      <c r="J17" s="6">
        <v>17.600000000000001</v>
      </c>
      <c r="K17" s="6">
        <v>26.4</v>
      </c>
      <c r="L17" s="6">
        <v>33.5</v>
      </c>
      <c r="M17" s="6">
        <v>14.9</v>
      </c>
      <c r="N17" s="6">
        <v>162.6</v>
      </c>
      <c r="O17" s="6">
        <v>32.700000000000003</v>
      </c>
      <c r="P17" s="6">
        <v>86.3</v>
      </c>
      <c r="Q17" s="6">
        <v>929</v>
      </c>
      <c r="R17" s="6">
        <v>347.8</v>
      </c>
      <c r="S17" s="6">
        <v>302</v>
      </c>
      <c r="T17" s="6">
        <v>594.70000000000005</v>
      </c>
      <c r="U17" s="6">
        <v>1148.5999999999999</v>
      </c>
      <c r="V17" s="6">
        <v>24.5</v>
      </c>
      <c r="W17" s="6">
        <v>142.80000000000001</v>
      </c>
      <c r="X17" s="6">
        <v>86.8</v>
      </c>
      <c r="Y17" s="6">
        <v>22.3</v>
      </c>
      <c r="Z17" s="6">
        <v>835.1</v>
      </c>
      <c r="AA17" s="7">
        <v>186.9</v>
      </c>
      <c r="AB17" s="7">
        <v>33.4</v>
      </c>
      <c r="AC17" s="7">
        <v>0.7</v>
      </c>
      <c r="AD17" s="7">
        <v>2.4</v>
      </c>
      <c r="AE17" s="7">
        <v>31.3</v>
      </c>
      <c r="AF17" s="7">
        <v>1.3</v>
      </c>
      <c r="AG17" s="7">
        <v>11.4</v>
      </c>
      <c r="AH17" s="7">
        <v>3.6</v>
      </c>
      <c r="AI17" s="7">
        <v>21.6</v>
      </c>
      <c r="AJ17" s="7">
        <v>8</v>
      </c>
      <c r="AK17" s="7">
        <v>9.1</v>
      </c>
      <c r="AL17" s="7">
        <v>89</v>
      </c>
      <c r="AM17" s="7">
        <v>32.299999999999997</v>
      </c>
      <c r="AN17" s="7">
        <v>24.8</v>
      </c>
      <c r="AO17" s="7">
        <v>22.6</v>
      </c>
      <c r="AP17" s="7">
        <v>20.9</v>
      </c>
      <c r="AQ17" s="7">
        <v>24.7</v>
      </c>
      <c r="AR17" s="7">
        <v>13.5</v>
      </c>
      <c r="AS17" s="7">
        <v>8.6999999999999993</v>
      </c>
      <c r="AT17" s="7">
        <v>0</v>
      </c>
      <c r="AU17">
        <v>376.5</v>
      </c>
      <c r="AV17">
        <v>0</v>
      </c>
      <c r="AW17">
        <v>9.8000000000000007</v>
      </c>
      <c r="AX17">
        <v>670.5</v>
      </c>
      <c r="AY17">
        <v>83</v>
      </c>
      <c r="AZ17">
        <v>2.5</v>
      </c>
      <c r="BA17">
        <v>5.8</v>
      </c>
      <c r="BB17">
        <v>2247.5</v>
      </c>
      <c r="BC17">
        <v>-3027.1</v>
      </c>
      <c r="BD17" s="10">
        <f t="shared" si="0"/>
        <v>368.5</v>
      </c>
      <c r="BE17" s="10">
        <f t="shared" si="1"/>
        <v>6097.3000000000011</v>
      </c>
    </row>
    <row r="18" spans="1:57" x14ac:dyDescent="0.3">
      <c r="A18" s="19" t="s">
        <v>70</v>
      </c>
      <c r="B18" s="5">
        <v>15.4</v>
      </c>
      <c r="C18" s="5">
        <v>0.1</v>
      </c>
      <c r="D18" s="5">
        <v>1.3</v>
      </c>
      <c r="E18" s="5">
        <v>0.8</v>
      </c>
      <c r="F18" s="5">
        <v>2.6</v>
      </c>
      <c r="G18" s="6">
        <v>31.1</v>
      </c>
      <c r="H18" s="6">
        <v>6.4</v>
      </c>
      <c r="I18" s="6">
        <v>3.5</v>
      </c>
      <c r="J18" s="6">
        <v>9</v>
      </c>
      <c r="K18" s="6">
        <v>17.2</v>
      </c>
      <c r="L18" s="6">
        <v>11.8</v>
      </c>
      <c r="M18" s="6">
        <v>10.9</v>
      </c>
      <c r="N18" s="6">
        <v>55.6</v>
      </c>
      <c r="O18" s="6">
        <v>7.7</v>
      </c>
      <c r="P18" s="6">
        <v>7.5</v>
      </c>
      <c r="Q18" s="6">
        <v>32.700000000000003</v>
      </c>
      <c r="R18" s="6">
        <v>9875.6</v>
      </c>
      <c r="S18" s="6">
        <v>371.1</v>
      </c>
      <c r="T18" s="6">
        <v>96.7</v>
      </c>
      <c r="U18" s="6">
        <v>1157.4000000000001</v>
      </c>
      <c r="V18" s="6">
        <v>2.6</v>
      </c>
      <c r="W18" s="6">
        <v>231.9</v>
      </c>
      <c r="X18" s="6">
        <v>50.7</v>
      </c>
      <c r="Y18" s="6">
        <v>16.899999999999999</v>
      </c>
      <c r="Z18" s="6">
        <v>100</v>
      </c>
      <c r="AA18" s="7">
        <v>244.7</v>
      </c>
      <c r="AB18" s="7">
        <v>30.1</v>
      </c>
      <c r="AC18" s="7">
        <v>0.8</v>
      </c>
      <c r="AD18" s="7">
        <v>4</v>
      </c>
      <c r="AE18" s="7">
        <v>25</v>
      </c>
      <c r="AF18" s="7">
        <v>9.4</v>
      </c>
      <c r="AG18" s="7">
        <v>18.5</v>
      </c>
      <c r="AH18" s="7">
        <v>12.1</v>
      </c>
      <c r="AI18" s="7">
        <v>76.099999999999994</v>
      </c>
      <c r="AJ18" s="7">
        <v>84.7</v>
      </c>
      <c r="AK18" s="7">
        <v>64.099999999999994</v>
      </c>
      <c r="AL18" s="7">
        <v>57.2</v>
      </c>
      <c r="AM18" s="7">
        <v>85.6</v>
      </c>
      <c r="AN18" s="7">
        <v>47.8</v>
      </c>
      <c r="AO18" s="7">
        <v>45.6</v>
      </c>
      <c r="AP18" s="7">
        <v>42.7</v>
      </c>
      <c r="AQ18" s="7">
        <v>57.5</v>
      </c>
      <c r="AR18" s="7">
        <v>14</v>
      </c>
      <c r="AS18" s="7">
        <v>26</v>
      </c>
      <c r="AT18" s="7">
        <v>0</v>
      </c>
      <c r="AU18">
        <v>1123.5999999999999</v>
      </c>
      <c r="AV18">
        <v>0.1</v>
      </c>
      <c r="AW18">
        <v>15.8</v>
      </c>
      <c r="AX18">
        <v>1975.9</v>
      </c>
      <c r="AY18">
        <v>334.8</v>
      </c>
      <c r="AZ18">
        <v>8</v>
      </c>
      <c r="BA18">
        <v>12.8</v>
      </c>
      <c r="BB18">
        <v>19863.099999999999</v>
      </c>
      <c r="BC18">
        <v>-13679.4</v>
      </c>
      <c r="BD18" s="10">
        <f t="shared" si="0"/>
        <v>9654.6999999999989</v>
      </c>
      <c r="BE18" s="10">
        <f t="shared" si="1"/>
        <v>22717.1</v>
      </c>
    </row>
    <row r="19" spans="1:57" x14ac:dyDescent="0.3">
      <c r="A19" s="19" t="s">
        <v>71</v>
      </c>
      <c r="B19" s="5">
        <v>44.7</v>
      </c>
      <c r="C19" s="5">
        <v>0.2</v>
      </c>
      <c r="D19" s="5">
        <v>0.7</v>
      </c>
      <c r="E19" s="5">
        <v>1.7</v>
      </c>
      <c r="F19" s="5">
        <v>0.9</v>
      </c>
      <c r="G19" s="6">
        <v>60.4</v>
      </c>
      <c r="H19" s="6">
        <v>14.7</v>
      </c>
      <c r="I19" s="6">
        <v>7.8</v>
      </c>
      <c r="J19" s="6">
        <v>15.1</v>
      </c>
      <c r="K19" s="6">
        <v>47.7</v>
      </c>
      <c r="L19" s="6">
        <v>32.200000000000003</v>
      </c>
      <c r="M19" s="6">
        <v>13.5</v>
      </c>
      <c r="N19" s="6">
        <v>43.6</v>
      </c>
      <c r="O19" s="6">
        <v>21.6</v>
      </c>
      <c r="P19" s="6">
        <v>25.3</v>
      </c>
      <c r="Q19" s="6">
        <v>76.599999999999994</v>
      </c>
      <c r="R19" s="6">
        <v>1820.8</v>
      </c>
      <c r="S19" s="6">
        <v>821</v>
      </c>
      <c r="T19" s="6">
        <v>302.10000000000002</v>
      </c>
      <c r="U19" s="6">
        <v>1008.1</v>
      </c>
      <c r="V19" s="6">
        <v>17.5</v>
      </c>
      <c r="W19" s="6">
        <v>82.5</v>
      </c>
      <c r="X19" s="6">
        <v>151.1</v>
      </c>
      <c r="Y19" s="6">
        <v>16.399999999999999</v>
      </c>
      <c r="Z19" s="6">
        <v>512.20000000000005</v>
      </c>
      <c r="AA19" s="7">
        <v>190.3</v>
      </c>
      <c r="AB19" s="7">
        <v>51.5</v>
      </c>
      <c r="AC19" s="7">
        <v>2.1</v>
      </c>
      <c r="AD19" s="7">
        <v>4.9000000000000004</v>
      </c>
      <c r="AE19" s="7">
        <v>21</v>
      </c>
      <c r="AF19" s="7">
        <v>1.7</v>
      </c>
      <c r="AG19" s="7">
        <v>29.4</v>
      </c>
      <c r="AH19" s="7">
        <v>4.5</v>
      </c>
      <c r="AI19" s="7">
        <v>52.9</v>
      </c>
      <c r="AJ19" s="7">
        <v>14.2</v>
      </c>
      <c r="AK19" s="7">
        <v>9.6999999999999993</v>
      </c>
      <c r="AL19" s="7">
        <v>82.1</v>
      </c>
      <c r="AM19" s="7">
        <v>57.7</v>
      </c>
      <c r="AN19" s="7">
        <v>28.3</v>
      </c>
      <c r="AO19" s="7">
        <v>30.2</v>
      </c>
      <c r="AP19" s="7">
        <v>6.6</v>
      </c>
      <c r="AQ19" s="7">
        <v>16.399999999999999</v>
      </c>
      <c r="AR19" s="7">
        <v>7.9</v>
      </c>
      <c r="AS19" s="7">
        <v>9.1999999999999993</v>
      </c>
      <c r="AT19" s="7">
        <v>0</v>
      </c>
      <c r="AU19">
        <v>907.6</v>
      </c>
      <c r="AV19">
        <v>0.1</v>
      </c>
      <c r="AW19">
        <v>13.2</v>
      </c>
      <c r="AX19">
        <v>1043.4000000000001</v>
      </c>
      <c r="AY19">
        <v>128.30000000000001</v>
      </c>
      <c r="AZ19">
        <v>5</v>
      </c>
      <c r="BA19">
        <v>7.9</v>
      </c>
      <c r="BB19">
        <v>6303.2</v>
      </c>
      <c r="BC19">
        <v>-5953.1</v>
      </c>
      <c r="BD19" s="10">
        <f t="shared" si="0"/>
        <v>2455.6000000000004</v>
      </c>
      <c r="BE19" s="10">
        <f t="shared" si="1"/>
        <v>8214.5999999999985</v>
      </c>
    </row>
    <row r="20" spans="1:57" x14ac:dyDescent="0.3">
      <c r="A20" s="19" t="s">
        <v>72</v>
      </c>
      <c r="B20" s="5">
        <v>148.1</v>
      </c>
      <c r="C20" s="5">
        <v>0.8</v>
      </c>
      <c r="D20" s="5">
        <v>2.6</v>
      </c>
      <c r="E20" s="5">
        <v>9.8000000000000007</v>
      </c>
      <c r="F20" s="5">
        <v>2.6</v>
      </c>
      <c r="G20" s="6">
        <v>88.2</v>
      </c>
      <c r="H20" s="6">
        <v>13.4</v>
      </c>
      <c r="I20" s="6">
        <v>9.1</v>
      </c>
      <c r="J20" s="6">
        <v>45.1</v>
      </c>
      <c r="K20" s="6">
        <v>44.2</v>
      </c>
      <c r="L20" s="6">
        <v>53.8</v>
      </c>
      <c r="M20" s="6">
        <v>18.8</v>
      </c>
      <c r="N20" s="6">
        <v>66.3</v>
      </c>
      <c r="O20" s="6">
        <v>55</v>
      </c>
      <c r="P20" s="6">
        <v>75.099999999999994</v>
      </c>
      <c r="Q20" s="6">
        <v>94.4</v>
      </c>
      <c r="R20" s="6">
        <v>367.8</v>
      </c>
      <c r="S20" s="6">
        <v>280</v>
      </c>
      <c r="T20" s="6">
        <v>631.6</v>
      </c>
      <c r="U20" s="6">
        <v>4165.8</v>
      </c>
      <c r="V20" s="6">
        <v>14.4</v>
      </c>
      <c r="W20" s="6">
        <v>66</v>
      </c>
      <c r="X20" s="6">
        <v>96.7</v>
      </c>
      <c r="Y20" s="6">
        <v>37.5</v>
      </c>
      <c r="Z20" s="6">
        <v>240.3</v>
      </c>
      <c r="AA20" s="7">
        <v>406.3</v>
      </c>
      <c r="AB20" s="7">
        <v>58.1</v>
      </c>
      <c r="AC20" s="7">
        <v>0.5</v>
      </c>
      <c r="AD20" s="7">
        <v>3.1</v>
      </c>
      <c r="AE20" s="7">
        <v>48.5</v>
      </c>
      <c r="AF20" s="7">
        <v>0.8</v>
      </c>
      <c r="AG20" s="7">
        <v>15.2</v>
      </c>
      <c r="AH20" s="7">
        <v>5.0999999999999996</v>
      </c>
      <c r="AI20" s="7">
        <v>10.4</v>
      </c>
      <c r="AJ20" s="7">
        <v>12.7</v>
      </c>
      <c r="AK20" s="7">
        <v>18.100000000000001</v>
      </c>
      <c r="AL20" s="7">
        <v>96.3</v>
      </c>
      <c r="AM20" s="7">
        <v>52.3</v>
      </c>
      <c r="AN20" s="7">
        <v>28</v>
      </c>
      <c r="AO20" s="7">
        <v>12.2</v>
      </c>
      <c r="AP20" s="7">
        <v>5.8</v>
      </c>
      <c r="AQ20" s="7">
        <v>14.1</v>
      </c>
      <c r="AR20" s="7">
        <v>5.4</v>
      </c>
      <c r="AS20" s="7">
        <v>19</v>
      </c>
      <c r="AT20" s="7">
        <v>0</v>
      </c>
      <c r="AU20">
        <v>159.69999999999999</v>
      </c>
      <c r="AV20">
        <v>0</v>
      </c>
      <c r="AW20">
        <v>5.2</v>
      </c>
      <c r="AX20">
        <v>3841.9</v>
      </c>
      <c r="AY20">
        <v>160.30000000000001</v>
      </c>
      <c r="AZ20">
        <v>1.5</v>
      </c>
      <c r="BA20">
        <v>1.4</v>
      </c>
      <c r="BB20">
        <v>3602.3</v>
      </c>
      <c r="BC20">
        <v>-9918.6</v>
      </c>
      <c r="BD20" s="10">
        <f t="shared" si="0"/>
        <v>-2146.3000000000002</v>
      </c>
      <c r="BE20" s="10">
        <f t="shared" si="1"/>
        <v>5292.9999999999982</v>
      </c>
    </row>
    <row r="21" spans="1:57" x14ac:dyDescent="0.3">
      <c r="A21" s="19" t="s">
        <v>73</v>
      </c>
      <c r="B21" s="5">
        <v>35.799999999999997</v>
      </c>
      <c r="C21" s="5">
        <v>0.3</v>
      </c>
      <c r="D21" s="5">
        <v>0.6</v>
      </c>
      <c r="E21" s="5">
        <v>1.7</v>
      </c>
      <c r="F21" s="5">
        <v>0.5</v>
      </c>
      <c r="G21" s="6">
        <v>28.6</v>
      </c>
      <c r="H21" s="6">
        <v>12.2</v>
      </c>
      <c r="I21" s="6">
        <v>3.5</v>
      </c>
      <c r="J21" s="6">
        <v>7.1</v>
      </c>
      <c r="K21" s="6">
        <v>7.7</v>
      </c>
      <c r="L21" s="6">
        <v>8.6999999999999993</v>
      </c>
      <c r="M21" s="6">
        <v>5.5</v>
      </c>
      <c r="N21" s="6">
        <v>49.7</v>
      </c>
      <c r="O21" s="6">
        <v>24.6</v>
      </c>
      <c r="P21" s="6">
        <v>55</v>
      </c>
      <c r="Q21" s="6">
        <v>47.2</v>
      </c>
      <c r="R21" s="6">
        <v>282.5</v>
      </c>
      <c r="S21" s="6">
        <v>84.5</v>
      </c>
      <c r="T21" s="6">
        <v>110.9</v>
      </c>
      <c r="U21" s="6">
        <v>4201.2</v>
      </c>
      <c r="V21" s="6">
        <v>21.9</v>
      </c>
      <c r="W21" s="6">
        <v>22</v>
      </c>
      <c r="X21" s="6">
        <v>23.1</v>
      </c>
      <c r="Y21" s="6">
        <v>22.6</v>
      </c>
      <c r="Z21" s="6">
        <v>134.1</v>
      </c>
      <c r="AA21" s="7">
        <v>485.9</v>
      </c>
      <c r="AB21" s="7">
        <v>150</v>
      </c>
      <c r="AC21" s="7">
        <v>3.3</v>
      </c>
      <c r="AD21" s="7">
        <v>2.5</v>
      </c>
      <c r="AE21" s="7">
        <v>39.1</v>
      </c>
      <c r="AF21" s="7">
        <v>1.8</v>
      </c>
      <c r="AG21" s="7">
        <v>5.0999999999999996</v>
      </c>
      <c r="AH21" s="7">
        <v>1.6</v>
      </c>
      <c r="AI21" s="7">
        <v>7.5</v>
      </c>
      <c r="AJ21" s="7">
        <v>5.4</v>
      </c>
      <c r="AK21" s="7">
        <v>7.1</v>
      </c>
      <c r="AL21" s="7">
        <v>32.9</v>
      </c>
      <c r="AM21" s="7">
        <v>23.6</v>
      </c>
      <c r="AN21" s="7">
        <v>29.8</v>
      </c>
      <c r="AO21" s="7">
        <v>14</v>
      </c>
      <c r="AP21" s="7">
        <v>3.3</v>
      </c>
      <c r="AQ21" s="7">
        <v>7.3</v>
      </c>
      <c r="AR21" s="7">
        <v>3.6</v>
      </c>
      <c r="AS21" s="7">
        <v>9.8000000000000007</v>
      </c>
      <c r="AT21" s="7">
        <v>0</v>
      </c>
      <c r="AU21">
        <v>2809</v>
      </c>
      <c r="AV21">
        <v>0</v>
      </c>
      <c r="AW21">
        <v>5.9</v>
      </c>
      <c r="AX21">
        <v>2671.6</v>
      </c>
      <c r="AY21">
        <v>249.2</v>
      </c>
      <c r="AZ21">
        <v>5.0999999999999996</v>
      </c>
      <c r="BA21">
        <v>12.7</v>
      </c>
      <c r="BB21">
        <v>19213.900000000001</v>
      </c>
      <c r="BC21">
        <v>-6990.4</v>
      </c>
      <c r="BD21" s="10">
        <f t="shared" si="0"/>
        <v>17977</v>
      </c>
      <c r="BE21" s="10">
        <f t="shared" si="1"/>
        <v>24002.100000000006</v>
      </c>
    </row>
    <row r="22" spans="1:57" x14ac:dyDescent="0.3">
      <c r="A22" s="19" t="s">
        <v>74</v>
      </c>
      <c r="B22" s="5">
        <v>1.7</v>
      </c>
      <c r="C22" s="5">
        <v>0</v>
      </c>
      <c r="D22" s="5">
        <v>0</v>
      </c>
      <c r="E22" s="5">
        <v>0.1</v>
      </c>
      <c r="F22" s="5">
        <v>0</v>
      </c>
      <c r="G22" s="6">
        <v>1.7</v>
      </c>
      <c r="H22" s="6">
        <v>0.3</v>
      </c>
      <c r="I22" s="6">
        <v>0.2</v>
      </c>
      <c r="J22" s="6">
        <v>0.2</v>
      </c>
      <c r="K22" s="6">
        <v>0.2</v>
      </c>
      <c r="L22" s="6">
        <v>0.2</v>
      </c>
      <c r="M22" s="6">
        <v>0.1</v>
      </c>
      <c r="N22" s="6">
        <v>5</v>
      </c>
      <c r="O22" s="6">
        <v>0.3</v>
      </c>
      <c r="P22" s="6">
        <v>78.2</v>
      </c>
      <c r="Q22" s="6">
        <v>0.8</v>
      </c>
      <c r="R22" s="6">
        <v>4.4000000000000004</v>
      </c>
      <c r="S22" s="6">
        <v>24.4</v>
      </c>
      <c r="T22" s="6">
        <v>3.7</v>
      </c>
      <c r="U22" s="6">
        <v>11.1</v>
      </c>
      <c r="V22" s="6">
        <v>188</v>
      </c>
      <c r="W22" s="6">
        <v>30.7</v>
      </c>
      <c r="X22" s="6">
        <v>0.6</v>
      </c>
      <c r="Y22" s="6">
        <v>0.4</v>
      </c>
      <c r="Z22" s="6">
        <v>9.8000000000000007</v>
      </c>
      <c r="AA22" s="7">
        <v>32.4</v>
      </c>
      <c r="AB22" s="7">
        <v>14.8</v>
      </c>
      <c r="AC22" s="7">
        <v>0.2</v>
      </c>
      <c r="AD22" s="7">
        <v>1.5</v>
      </c>
      <c r="AE22" s="7">
        <v>23.4</v>
      </c>
      <c r="AF22" s="7">
        <v>0.2</v>
      </c>
      <c r="AG22" s="7">
        <v>0.2</v>
      </c>
      <c r="AH22" s="7">
        <v>0.1</v>
      </c>
      <c r="AI22" s="7">
        <v>0.1</v>
      </c>
      <c r="AJ22" s="7">
        <v>0.6</v>
      </c>
      <c r="AK22" s="7">
        <v>0.1</v>
      </c>
      <c r="AL22" s="7">
        <v>0.7</v>
      </c>
      <c r="AM22" s="7">
        <v>1.1000000000000001</v>
      </c>
      <c r="AN22" s="7">
        <v>24.3</v>
      </c>
      <c r="AO22" s="7">
        <v>10.5</v>
      </c>
      <c r="AP22" s="7">
        <v>0.7</v>
      </c>
      <c r="AQ22" s="7">
        <v>1.4</v>
      </c>
      <c r="AR22" s="7">
        <v>0.7</v>
      </c>
      <c r="AS22" s="7">
        <v>0.8</v>
      </c>
      <c r="AT22" s="7">
        <v>0</v>
      </c>
      <c r="AU22">
        <v>193.7</v>
      </c>
      <c r="AV22">
        <v>0</v>
      </c>
      <c r="AW22">
        <v>19.7</v>
      </c>
      <c r="AX22">
        <v>466.2</v>
      </c>
      <c r="AY22">
        <v>-36.4</v>
      </c>
      <c r="AZ22">
        <v>0</v>
      </c>
      <c r="BA22">
        <v>0</v>
      </c>
      <c r="BB22">
        <v>251.3</v>
      </c>
      <c r="BC22">
        <v>-544.6</v>
      </c>
      <c r="BD22" s="10">
        <f t="shared" si="0"/>
        <v>349.9</v>
      </c>
      <c r="BE22" s="10">
        <f t="shared" si="1"/>
        <v>825.79999999999984</v>
      </c>
    </row>
    <row r="23" spans="1:57" x14ac:dyDescent="0.3">
      <c r="A23" s="19" t="s">
        <v>75</v>
      </c>
      <c r="B23" s="5">
        <v>11.6</v>
      </c>
      <c r="C23" s="5">
        <v>0.1</v>
      </c>
      <c r="D23" s="5">
        <v>0.3</v>
      </c>
      <c r="E23" s="5">
        <v>1.8</v>
      </c>
      <c r="F23" s="5">
        <v>0.7</v>
      </c>
      <c r="G23" s="6">
        <v>30.6</v>
      </c>
      <c r="H23" s="6">
        <v>65.3</v>
      </c>
      <c r="I23" s="6">
        <v>12.2</v>
      </c>
      <c r="J23" s="6">
        <v>12.6</v>
      </c>
      <c r="K23" s="6">
        <v>58.3</v>
      </c>
      <c r="L23" s="6">
        <v>30.3</v>
      </c>
      <c r="M23" s="6">
        <v>15.2</v>
      </c>
      <c r="N23" s="6">
        <v>35.1</v>
      </c>
      <c r="O23" s="6">
        <v>10.6</v>
      </c>
      <c r="P23" s="6">
        <v>11.9</v>
      </c>
      <c r="Q23" s="6">
        <v>24.5</v>
      </c>
      <c r="R23" s="6">
        <v>147.1</v>
      </c>
      <c r="S23" s="6">
        <v>33.200000000000003</v>
      </c>
      <c r="T23" s="6">
        <v>58.2</v>
      </c>
      <c r="U23" s="6">
        <v>161.5</v>
      </c>
      <c r="V23" s="6">
        <v>2.9</v>
      </c>
      <c r="W23" s="6">
        <v>138.30000000000001</v>
      </c>
      <c r="X23" s="6">
        <v>118.5</v>
      </c>
      <c r="Y23" s="6">
        <v>9.8000000000000007</v>
      </c>
      <c r="Z23" s="6">
        <v>88.6</v>
      </c>
      <c r="AA23" s="7">
        <v>61.6</v>
      </c>
      <c r="AB23" s="7">
        <v>108.8</v>
      </c>
      <c r="AC23" s="7">
        <v>2.1</v>
      </c>
      <c r="AD23" s="7">
        <v>12.1</v>
      </c>
      <c r="AE23" s="7">
        <v>69.7</v>
      </c>
      <c r="AF23" s="7">
        <v>1.5</v>
      </c>
      <c r="AG23" s="7">
        <v>5.7</v>
      </c>
      <c r="AH23" s="7">
        <v>4.5</v>
      </c>
      <c r="AI23" s="7">
        <v>20</v>
      </c>
      <c r="AJ23" s="7">
        <v>5.6</v>
      </c>
      <c r="AK23" s="7">
        <v>31.4</v>
      </c>
      <c r="AL23" s="7">
        <v>30</v>
      </c>
      <c r="AM23" s="7">
        <v>25.8</v>
      </c>
      <c r="AN23" s="7">
        <v>15.2</v>
      </c>
      <c r="AO23" s="7">
        <v>30.8</v>
      </c>
      <c r="AP23" s="7">
        <v>21.7</v>
      </c>
      <c r="AQ23" s="7">
        <v>202.2</v>
      </c>
      <c r="AR23" s="7">
        <v>8.6</v>
      </c>
      <c r="AS23" s="7">
        <v>8.1</v>
      </c>
      <c r="AT23" s="7">
        <v>0</v>
      </c>
      <c r="AU23">
        <v>1070.4000000000001</v>
      </c>
      <c r="AV23">
        <v>0</v>
      </c>
      <c r="AW23">
        <v>139.1</v>
      </c>
      <c r="AX23">
        <v>615.1</v>
      </c>
      <c r="AY23">
        <v>12.7</v>
      </c>
      <c r="AZ23">
        <v>32.299999999999997</v>
      </c>
      <c r="BA23">
        <v>73.400000000000006</v>
      </c>
      <c r="BB23">
        <v>1254.5</v>
      </c>
      <c r="BC23">
        <v>-1424.5</v>
      </c>
      <c r="BD23" s="10">
        <f t="shared" si="0"/>
        <v>1773</v>
      </c>
      <c r="BE23" s="10">
        <f t="shared" si="1"/>
        <v>3517.5999999999995</v>
      </c>
    </row>
    <row r="24" spans="1:57" x14ac:dyDescent="0.3">
      <c r="A24" s="19" t="s">
        <v>76</v>
      </c>
      <c r="B24" s="5">
        <v>269.89999999999998</v>
      </c>
      <c r="C24" s="5">
        <v>1.8</v>
      </c>
      <c r="D24" s="5">
        <v>2.4</v>
      </c>
      <c r="E24" s="5">
        <v>12.8</v>
      </c>
      <c r="F24" s="5">
        <v>1.7</v>
      </c>
      <c r="G24" s="6">
        <v>314.3</v>
      </c>
      <c r="H24" s="6">
        <v>26.8</v>
      </c>
      <c r="I24" s="6">
        <v>39.700000000000003</v>
      </c>
      <c r="J24" s="6">
        <v>127.6</v>
      </c>
      <c r="K24" s="6">
        <v>271.3</v>
      </c>
      <c r="L24" s="6">
        <v>409.5</v>
      </c>
      <c r="M24" s="6">
        <v>89</v>
      </c>
      <c r="N24" s="6">
        <v>133.30000000000001</v>
      </c>
      <c r="O24" s="6">
        <v>253.6</v>
      </c>
      <c r="P24" s="6">
        <v>273.89999999999998</v>
      </c>
      <c r="Q24" s="6">
        <v>80.099999999999994</v>
      </c>
      <c r="R24" s="6">
        <v>157.6</v>
      </c>
      <c r="S24" s="6">
        <v>82.9</v>
      </c>
      <c r="T24" s="6">
        <v>81.5</v>
      </c>
      <c r="U24" s="6">
        <v>268.7</v>
      </c>
      <c r="V24" s="6">
        <v>14.5</v>
      </c>
      <c r="W24" s="6">
        <v>44.6</v>
      </c>
      <c r="X24" s="6">
        <v>547.20000000000005</v>
      </c>
      <c r="Y24" s="6">
        <v>182.8</v>
      </c>
      <c r="Z24" s="6">
        <v>114.4</v>
      </c>
      <c r="AA24" s="7">
        <v>729.6</v>
      </c>
      <c r="AB24" s="7">
        <v>128.9</v>
      </c>
      <c r="AC24" s="7">
        <v>2.5</v>
      </c>
      <c r="AD24" s="7">
        <v>4.2</v>
      </c>
      <c r="AE24" s="7">
        <v>205.5</v>
      </c>
      <c r="AF24" s="7">
        <v>11.7</v>
      </c>
      <c r="AG24" s="7">
        <v>214.3</v>
      </c>
      <c r="AH24" s="7">
        <v>27</v>
      </c>
      <c r="AI24" s="7">
        <v>84.3</v>
      </c>
      <c r="AJ24" s="7">
        <v>37.9</v>
      </c>
      <c r="AK24" s="7">
        <v>84.4</v>
      </c>
      <c r="AL24" s="7">
        <v>265</v>
      </c>
      <c r="AM24" s="7">
        <v>184.1</v>
      </c>
      <c r="AN24" s="7">
        <v>76</v>
      </c>
      <c r="AO24" s="7">
        <v>405</v>
      </c>
      <c r="AP24" s="7">
        <v>240.5</v>
      </c>
      <c r="AQ24" s="7">
        <v>199.2</v>
      </c>
      <c r="AR24" s="7">
        <v>151.6</v>
      </c>
      <c r="AS24" s="7">
        <v>82.2</v>
      </c>
      <c r="AT24" s="7">
        <v>0</v>
      </c>
      <c r="AU24">
        <v>2558.3000000000002</v>
      </c>
      <c r="AV24">
        <v>0.5</v>
      </c>
      <c r="AW24">
        <v>83.5</v>
      </c>
      <c r="AX24">
        <v>176</v>
      </c>
      <c r="AY24">
        <v>4.9000000000000004</v>
      </c>
      <c r="AZ24">
        <v>3.6</v>
      </c>
      <c r="BA24">
        <v>6.9</v>
      </c>
      <c r="BB24">
        <v>689.1</v>
      </c>
      <c r="BC24">
        <v>-878.9</v>
      </c>
      <c r="BD24" s="10">
        <f t="shared" si="0"/>
        <v>2643.9</v>
      </c>
      <c r="BE24" s="10">
        <f t="shared" si="1"/>
        <v>9579.6999999999989</v>
      </c>
    </row>
    <row r="25" spans="1:57" x14ac:dyDescent="0.3">
      <c r="A25" s="19" t="s">
        <v>77</v>
      </c>
      <c r="B25" s="5">
        <v>40.799999999999997</v>
      </c>
      <c r="C25" s="5">
        <v>0.2</v>
      </c>
      <c r="D25" s="5">
        <v>0.7</v>
      </c>
      <c r="E25" s="5">
        <v>1.9</v>
      </c>
      <c r="F25" s="5">
        <v>1.1000000000000001</v>
      </c>
      <c r="G25" s="6">
        <v>70.400000000000006</v>
      </c>
      <c r="H25" s="6">
        <v>5.5</v>
      </c>
      <c r="I25" s="6">
        <v>17.100000000000001</v>
      </c>
      <c r="J25" s="6">
        <v>18.2</v>
      </c>
      <c r="K25" s="6">
        <v>36.6</v>
      </c>
      <c r="L25" s="6">
        <v>77.2</v>
      </c>
      <c r="M25" s="6">
        <v>31.5</v>
      </c>
      <c r="N25" s="6">
        <v>22.5</v>
      </c>
      <c r="O25" s="6">
        <v>21.4</v>
      </c>
      <c r="P25" s="6">
        <v>164.6</v>
      </c>
      <c r="Q25" s="6">
        <v>11.9</v>
      </c>
      <c r="R25" s="6">
        <v>19.7</v>
      </c>
      <c r="S25" s="6">
        <v>10.199999999999999</v>
      </c>
      <c r="T25" s="6">
        <v>9.8000000000000007</v>
      </c>
      <c r="U25" s="6">
        <v>34.9</v>
      </c>
      <c r="V25" s="6">
        <v>1.9</v>
      </c>
      <c r="W25" s="6">
        <v>7.6</v>
      </c>
      <c r="X25" s="6">
        <v>36.200000000000003</v>
      </c>
      <c r="Y25" s="6">
        <v>264.89999999999998</v>
      </c>
      <c r="Z25" s="6">
        <v>55.9</v>
      </c>
      <c r="AA25" s="7">
        <v>187.1</v>
      </c>
      <c r="AB25" s="7">
        <v>16</v>
      </c>
      <c r="AC25" s="7">
        <v>1.3</v>
      </c>
      <c r="AD25" s="7">
        <v>1.2</v>
      </c>
      <c r="AE25" s="7">
        <v>10.1</v>
      </c>
      <c r="AF25" s="7">
        <v>1.6</v>
      </c>
      <c r="AG25" s="7">
        <v>46.3</v>
      </c>
      <c r="AH25" s="7">
        <v>4.7</v>
      </c>
      <c r="AI25" s="7">
        <v>6.6</v>
      </c>
      <c r="AJ25" s="7">
        <v>3.6</v>
      </c>
      <c r="AK25" s="7">
        <v>23.4</v>
      </c>
      <c r="AL25" s="7">
        <v>77.3</v>
      </c>
      <c r="AM25" s="7">
        <v>24.6</v>
      </c>
      <c r="AN25" s="7">
        <v>31.7</v>
      </c>
      <c r="AO25" s="7">
        <v>106.2</v>
      </c>
      <c r="AP25" s="7">
        <v>46.6</v>
      </c>
      <c r="AQ25" s="7">
        <v>77.3</v>
      </c>
      <c r="AR25" s="7">
        <v>42.7</v>
      </c>
      <c r="AS25" s="7">
        <v>28</v>
      </c>
      <c r="AT25" s="7">
        <v>0</v>
      </c>
      <c r="AU25">
        <v>1048.9000000000001</v>
      </c>
      <c r="AV25">
        <v>1.1000000000000001</v>
      </c>
      <c r="AW25">
        <v>171.8</v>
      </c>
      <c r="AX25">
        <v>103.3</v>
      </c>
      <c r="AY25">
        <v>2.5</v>
      </c>
      <c r="AZ25">
        <v>1.3</v>
      </c>
      <c r="BA25">
        <v>4.2</v>
      </c>
      <c r="BB25">
        <v>66.900000000000006</v>
      </c>
      <c r="BC25">
        <v>-57.7</v>
      </c>
      <c r="BD25" s="10">
        <f t="shared" si="0"/>
        <v>1342.3</v>
      </c>
      <c r="BE25" s="10">
        <f t="shared" si="1"/>
        <v>3041.3</v>
      </c>
    </row>
    <row r="26" spans="1:57" x14ac:dyDescent="0.3">
      <c r="A26" s="19" t="s">
        <v>78</v>
      </c>
      <c r="B26" s="5">
        <v>24.1</v>
      </c>
      <c r="C26" s="5">
        <v>0.4</v>
      </c>
      <c r="D26" s="5">
        <v>0.7</v>
      </c>
      <c r="E26" s="5">
        <v>3.7</v>
      </c>
      <c r="F26" s="5">
        <v>1.1000000000000001</v>
      </c>
      <c r="G26" s="6">
        <v>41.6</v>
      </c>
      <c r="H26" s="6">
        <v>4.8</v>
      </c>
      <c r="I26" s="6">
        <v>5.4</v>
      </c>
      <c r="J26" s="6">
        <v>8.8000000000000007</v>
      </c>
      <c r="K26" s="6">
        <v>36</v>
      </c>
      <c r="L26" s="6">
        <v>17.899999999999999</v>
      </c>
      <c r="M26" s="6">
        <v>7.9</v>
      </c>
      <c r="N26" s="6">
        <v>18.2</v>
      </c>
      <c r="O26" s="6">
        <v>38.9</v>
      </c>
      <c r="P26" s="6">
        <v>12.9</v>
      </c>
      <c r="Q26" s="6">
        <v>30.8</v>
      </c>
      <c r="R26" s="6">
        <v>65.400000000000006</v>
      </c>
      <c r="S26" s="6">
        <v>22</v>
      </c>
      <c r="T26" s="6">
        <v>30.7</v>
      </c>
      <c r="U26" s="6">
        <v>103.9</v>
      </c>
      <c r="V26" s="6">
        <v>3.1</v>
      </c>
      <c r="W26" s="6">
        <v>13.9</v>
      </c>
      <c r="X26" s="6">
        <v>130.69999999999999</v>
      </c>
      <c r="Y26" s="6">
        <v>51.5</v>
      </c>
      <c r="Z26" s="6">
        <v>612.5</v>
      </c>
      <c r="AA26" s="7">
        <v>128</v>
      </c>
      <c r="AB26" s="7">
        <v>32.5</v>
      </c>
      <c r="AC26" s="7">
        <v>1.5</v>
      </c>
      <c r="AD26" s="7">
        <v>3.9</v>
      </c>
      <c r="AE26" s="7">
        <v>200.5</v>
      </c>
      <c r="AF26" s="7">
        <v>2.9</v>
      </c>
      <c r="AG26" s="7">
        <v>36.200000000000003</v>
      </c>
      <c r="AH26" s="7">
        <v>10.6</v>
      </c>
      <c r="AI26" s="7">
        <v>33.200000000000003</v>
      </c>
      <c r="AJ26" s="7">
        <v>11</v>
      </c>
      <c r="AK26" s="7">
        <v>36.1</v>
      </c>
      <c r="AL26" s="7">
        <v>266</v>
      </c>
      <c r="AM26" s="7">
        <v>77.3</v>
      </c>
      <c r="AN26" s="7">
        <v>26</v>
      </c>
      <c r="AO26" s="7">
        <v>287.3</v>
      </c>
      <c r="AP26" s="7">
        <v>73.400000000000006</v>
      </c>
      <c r="AQ26" s="7">
        <v>44.6</v>
      </c>
      <c r="AR26" s="7">
        <v>37.200000000000003</v>
      </c>
      <c r="AS26" s="7">
        <v>29.8</v>
      </c>
      <c r="AT26" s="7">
        <v>0</v>
      </c>
      <c r="AU26">
        <v>209.1</v>
      </c>
      <c r="AV26">
        <v>0.1</v>
      </c>
      <c r="AW26">
        <v>66.5</v>
      </c>
      <c r="AX26">
        <v>14513.4</v>
      </c>
      <c r="AY26">
        <v>13.7</v>
      </c>
      <c r="AZ26">
        <v>5.0999999999999996</v>
      </c>
      <c r="BA26">
        <v>13.1</v>
      </c>
      <c r="BB26">
        <v>214.5</v>
      </c>
      <c r="BC26">
        <v>-263.3</v>
      </c>
      <c r="BD26" s="10">
        <f t="shared" si="0"/>
        <v>14772.200000000003</v>
      </c>
      <c r="BE26" s="10">
        <f t="shared" si="1"/>
        <v>17397.099999999999</v>
      </c>
    </row>
    <row r="27" spans="1:57" x14ac:dyDescent="0.3">
      <c r="A27" s="19" t="s">
        <v>79</v>
      </c>
      <c r="B27" s="8">
        <v>1188.5</v>
      </c>
      <c r="C27" s="8">
        <v>4.7</v>
      </c>
      <c r="D27" s="8">
        <v>16</v>
      </c>
      <c r="E27" s="8">
        <v>21</v>
      </c>
      <c r="F27" s="8">
        <v>8.1999999999999993</v>
      </c>
      <c r="G27" s="9">
        <v>1593.4</v>
      </c>
      <c r="H27" s="9">
        <v>349.7</v>
      </c>
      <c r="I27" s="9">
        <v>136.19999999999999</v>
      </c>
      <c r="J27" s="9">
        <v>277.3</v>
      </c>
      <c r="K27" s="9">
        <v>980.2</v>
      </c>
      <c r="L27" s="9">
        <v>624.5</v>
      </c>
      <c r="M27" s="9">
        <v>285.39999999999998</v>
      </c>
      <c r="N27" s="9">
        <v>580.6</v>
      </c>
      <c r="O27" s="9">
        <v>315.3</v>
      </c>
      <c r="P27" s="9">
        <v>354.5</v>
      </c>
      <c r="Q27" s="9">
        <v>387.5</v>
      </c>
      <c r="R27" s="9">
        <v>2585.8000000000002</v>
      </c>
      <c r="S27" s="9">
        <v>794.9</v>
      </c>
      <c r="T27" s="9">
        <v>395.7</v>
      </c>
      <c r="U27" s="9">
        <v>2263.4</v>
      </c>
      <c r="V27" s="9">
        <v>51.5</v>
      </c>
      <c r="W27" s="9">
        <v>315.5</v>
      </c>
      <c r="X27" s="9">
        <v>589.9</v>
      </c>
      <c r="Y27" s="9">
        <v>100.3</v>
      </c>
      <c r="Z27" s="9">
        <v>1063.8</v>
      </c>
      <c r="AA27" s="1">
        <v>2115.3000000000002</v>
      </c>
      <c r="AB27" s="1">
        <v>683.3</v>
      </c>
      <c r="AC27" s="1">
        <v>24.1</v>
      </c>
      <c r="AD27" s="1">
        <v>86.7</v>
      </c>
      <c r="AE27" s="1">
        <v>167.1</v>
      </c>
      <c r="AF27" s="1">
        <v>43.1</v>
      </c>
      <c r="AG27" s="1">
        <v>566.20000000000005</v>
      </c>
      <c r="AH27" s="1">
        <v>149.9</v>
      </c>
      <c r="AI27" s="1">
        <v>129.1</v>
      </c>
      <c r="AJ27" s="1">
        <v>79.900000000000006</v>
      </c>
      <c r="AK27" s="1">
        <v>213.3</v>
      </c>
      <c r="AL27" s="1">
        <v>360.7</v>
      </c>
      <c r="AM27" s="1">
        <v>347</v>
      </c>
      <c r="AN27" s="1">
        <v>319.10000000000002</v>
      </c>
      <c r="AO27" s="1">
        <v>193.4</v>
      </c>
      <c r="AP27" s="1">
        <v>119.5</v>
      </c>
      <c r="AQ27" s="1">
        <v>457.4</v>
      </c>
      <c r="AR27" s="1">
        <v>105.6</v>
      </c>
      <c r="AS27" s="1">
        <v>131.69999999999999</v>
      </c>
      <c r="AT27" s="1">
        <v>0</v>
      </c>
      <c r="AU27">
        <v>9094.6</v>
      </c>
      <c r="AV27">
        <v>3.5</v>
      </c>
      <c r="AW27">
        <v>663</v>
      </c>
      <c r="AX27">
        <v>2691.5</v>
      </c>
      <c r="AY27">
        <v>419.4</v>
      </c>
      <c r="AZ27">
        <v>107</v>
      </c>
      <c r="BA27">
        <v>247.8</v>
      </c>
      <c r="BB27">
        <v>12827.4</v>
      </c>
      <c r="BC27">
        <v>-14917.4</v>
      </c>
      <c r="BD27" s="10">
        <f t="shared" si="0"/>
        <v>11136.799999999997</v>
      </c>
      <c r="BE27" s="10">
        <f t="shared" si="1"/>
        <v>32713</v>
      </c>
    </row>
    <row r="28" spans="1:57" x14ac:dyDescent="0.3">
      <c r="A28" s="19" t="s">
        <v>80</v>
      </c>
      <c r="B28" s="8">
        <v>182.7</v>
      </c>
      <c r="C28" s="8">
        <v>1.3</v>
      </c>
      <c r="D28" s="8">
        <v>17.399999999999999</v>
      </c>
      <c r="E28" s="8">
        <v>33.6</v>
      </c>
      <c r="F28" s="8">
        <v>8.9</v>
      </c>
      <c r="G28" s="9">
        <v>351.1</v>
      </c>
      <c r="H28" s="9">
        <v>35.799999999999997</v>
      </c>
      <c r="I28" s="9">
        <v>25.9</v>
      </c>
      <c r="J28" s="9">
        <v>58.8</v>
      </c>
      <c r="K28" s="9">
        <v>214.5</v>
      </c>
      <c r="L28" s="9">
        <v>102</v>
      </c>
      <c r="M28" s="9">
        <v>27.4</v>
      </c>
      <c r="N28" s="9">
        <v>91.1</v>
      </c>
      <c r="O28" s="9">
        <v>174.4</v>
      </c>
      <c r="P28" s="9">
        <v>94.2</v>
      </c>
      <c r="Q28" s="9">
        <v>102.7</v>
      </c>
      <c r="R28" s="9">
        <v>392.1</v>
      </c>
      <c r="S28" s="9">
        <v>128</v>
      </c>
      <c r="T28" s="9">
        <v>105.9</v>
      </c>
      <c r="U28" s="9">
        <v>341.4</v>
      </c>
      <c r="V28" s="9">
        <v>10.5</v>
      </c>
      <c r="W28" s="9">
        <v>54.5</v>
      </c>
      <c r="X28" s="9">
        <v>408.5</v>
      </c>
      <c r="Y28" s="9">
        <v>49.6</v>
      </c>
      <c r="Z28" s="9">
        <v>420.8</v>
      </c>
      <c r="AA28" s="1">
        <v>1301.5999999999999</v>
      </c>
      <c r="AB28" s="1">
        <v>178.5</v>
      </c>
      <c r="AC28" s="1">
        <v>7.4</v>
      </c>
      <c r="AD28" s="1">
        <v>21.9</v>
      </c>
      <c r="AE28" s="1">
        <v>40.6</v>
      </c>
      <c r="AF28" s="1">
        <v>20.9</v>
      </c>
      <c r="AG28" s="1">
        <v>62.5</v>
      </c>
      <c r="AH28" s="1">
        <v>25.3</v>
      </c>
      <c r="AI28" s="1">
        <v>39</v>
      </c>
      <c r="AJ28" s="1">
        <v>17.399999999999999</v>
      </c>
      <c r="AK28" s="1">
        <v>41.8</v>
      </c>
      <c r="AL28" s="1">
        <v>86.1</v>
      </c>
      <c r="AM28" s="1">
        <v>88.8</v>
      </c>
      <c r="AN28" s="1">
        <v>133.4</v>
      </c>
      <c r="AO28" s="1">
        <v>80.599999999999994</v>
      </c>
      <c r="AP28" s="1">
        <v>38.6</v>
      </c>
      <c r="AQ28" s="1">
        <v>48.5</v>
      </c>
      <c r="AR28" s="1">
        <v>29.2</v>
      </c>
      <c r="AS28" s="1">
        <v>45.5</v>
      </c>
      <c r="AT28" s="1">
        <v>0</v>
      </c>
      <c r="AU28">
        <v>1359.7</v>
      </c>
      <c r="AV28">
        <v>0.1</v>
      </c>
      <c r="AW28">
        <v>1625.6</v>
      </c>
      <c r="AX28">
        <v>399</v>
      </c>
      <c r="AY28">
        <v>826.8</v>
      </c>
      <c r="AZ28">
        <v>173.5</v>
      </c>
      <c r="BA28">
        <v>464.2</v>
      </c>
      <c r="BB28">
        <v>2950.5</v>
      </c>
      <c r="BC28">
        <v>-3532.2</v>
      </c>
      <c r="BD28" s="10">
        <f t="shared" si="0"/>
        <v>4267.2</v>
      </c>
      <c r="BE28" s="10">
        <f t="shared" si="1"/>
        <v>10007.900000000001</v>
      </c>
    </row>
    <row r="29" spans="1:57" x14ac:dyDescent="0.3">
      <c r="A29" s="19" t="s">
        <v>81</v>
      </c>
      <c r="B29" s="8">
        <v>4</v>
      </c>
      <c r="C29" s="8">
        <v>0</v>
      </c>
      <c r="D29" s="8">
        <v>0.2</v>
      </c>
      <c r="E29" s="8">
        <v>0.2</v>
      </c>
      <c r="F29" s="8">
        <v>0.1</v>
      </c>
      <c r="G29" s="9">
        <v>5.4</v>
      </c>
      <c r="H29" s="9">
        <v>1.3</v>
      </c>
      <c r="I29" s="9">
        <v>0.8</v>
      </c>
      <c r="J29" s="9">
        <v>1.2</v>
      </c>
      <c r="K29" s="9">
        <v>14.5</v>
      </c>
      <c r="L29" s="9">
        <v>3.8</v>
      </c>
      <c r="M29" s="9">
        <v>0.9</v>
      </c>
      <c r="N29" s="9">
        <v>2.7</v>
      </c>
      <c r="O29" s="9">
        <v>2.7</v>
      </c>
      <c r="P29" s="9">
        <v>4</v>
      </c>
      <c r="Q29" s="9">
        <v>2.7</v>
      </c>
      <c r="R29" s="9">
        <v>16.399999999999999</v>
      </c>
      <c r="S29" s="9">
        <v>6</v>
      </c>
      <c r="T29" s="9">
        <v>2.5</v>
      </c>
      <c r="U29" s="9">
        <v>17.3</v>
      </c>
      <c r="V29" s="9">
        <v>1</v>
      </c>
      <c r="W29" s="9">
        <v>1.5</v>
      </c>
      <c r="X29" s="9">
        <v>4.8</v>
      </c>
      <c r="Y29" s="9">
        <v>0.5</v>
      </c>
      <c r="Z29" s="9">
        <v>6.8</v>
      </c>
      <c r="AA29" s="1">
        <v>17.3</v>
      </c>
      <c r="AB29" s="1">
        <v>6</v>
      </c>
      <c r="AC29" s="1">
        <v>0.7</v>
      </c>
      <c r="AD29" s="1">
        <v>1.5</v>
      </c>
      <c r="AE29" s="1">
        <v>4.7</v>
      </c>
      <c r="AF29" s="1">
        <v>0.1</v>
      </c>
      <c r="AG29" s="1">
        <v>1.5</v>
      </c>
      <c r="AH29" s="1">
        <v>0.3</v>
      </c>
      <c r="AI29" s="1">
        <v>0.4</v>
      </c>
      <c r="AJ29" s="1">
        <v>0.3</v>
      </c>
      <c r="AK29" s="1">
        <v>0.5</v>
      </c>
      <c r="AL29" s="1">
        <v>1.7</v>
      </c>
      <c r="AM29" s="1">
        <v>1.3</v>
      </c>
      <c r="AN29" s="1">
        <v>3.8</v>
      </c>
      <c r="AO29" s="1">
        <v>1.3</v>
      </c>
      <c r="AP29" s="1">
        <v>0.5</v>
      </c>
      <c r="AQ29" s="1">
        <v>1.5</v>
      </c>
      <c r="AR29" s="1">
        <v>0.8</v>
      </c>
      <c r="AS29" s="1">
        <v>0.5</v>
      </c>
      <c r="AT29" s="1">
        <v>0</v>
      </c>
      <c r="AU29">
        <v>182.9</v>
      </c>
      <c r="AV29">
        <v>0.6</v>
      </c>
      <c r="AW29">
        <v>3.6</v>
      </c>
      <c r="AX29">
        <v>10.3</v>
      </c>
      <c r="AY29">
        <v>82</v>
      </c>
      <c r="AZ29">
        <v>41.4</v>
      </c>
      <c r="BA29">
        <v>51.6</v>
      </c>
      <c r="BB29">
        <v>41.7</v>
      </c>
      <c r="BC29">
        <v>-302.60000000000002</v>
      </c>
      <c r="BD29" s="10">
        <f t="shared" si="0"/>
        <v>111.49999999999994</v>
      </c>
      <c r="BE29" s="10">
        <f t="shared" si="1"/>
        <v>257.50000000000011</v>
      </c>
    </row>
    <row r="30" spans="1:57" x14ac:dyDescent="0.3">
      <c r="A30" s="19" t="s">
        <v>82</v>
      </c>
      <c r="B30" s="8">
        <v>8</v>
      </c>
      <c r="C30" s="8">
        <v>0.1</v>
      </c>
      <c r="D30" s="8">
        <v>0.5</v>
      </c>
      <c r="E30" s="8">
        <v>0.3</v>
      </c>
      <c r="F30" s="8">
        <v>0.3</v>
      </c>
      <c r="G30" s="9">
        <v>14</v>
      </c>
      <c r="H30" s="9">
        <v>2.8</v>
      </c>
      <c r="I30" s="9">
        <v>1.5</v>
      </c>
      <c r="J30" s="9">
        <v>2.9</v>
      </c>
      <c r="K30" s="9">
        <v>12.3</v>
      </c>
      <c r="L30" s="9">
        <v>5.8</v>
      </c>
      <c r="M30" s="9">
        <v>4.8</v>
      </c>
      <c r="N30" s="9">
        <v>7.3</v>
      </c>
      <c r="O30" s="9">
        <v>4.4000000000000004</v>
      </c>
      <c r="P30" s="9">
        <v>5.3</v>
      </c>
      <c r="Q30" s="9">
        <v>7.4</v>
      </c>
      <c r="R30" s="9">
        <v>48.8</v>
      </c>
      <c r="S30" s="9">
        <v>15.4</v>
      </c>
      <c r="T30" s="9">
        <v>6.8</v>
      </c>
      <c r="U30" s="9">
        <v>24.7</v>
      </c>
      <c r="V30" s="9">
        <v>1.3</v>
      </c>
      <c r="W30" s="9">
        <v>4.2</v>
      </c>
      <c r="X30" s="9">
        <v>9.8000000000000007</v>
      </c>
      <c r="Y30" s="9">
        <v>1.9</v>
      </c>
      <c r="Z30" s="9">
        <v>18</v>
      </c>
      <c r="AA30" s="1">
        <v>38</v>
      </c>
      <c r="AB30" s="1">
        <v>15.5</v>
      </c>
      <c r="AC30" s="1">
        <v>0.2</v>
      </c>
      <c r="AD30" s="1">
        <v>20.8</v>
      </c>
      <c r="AE30" s="1">
        <v>6</v>
      </c>
      <c r="AF30" s="1">
        <v>2.8</v>
      </c>
      <c r="AG30" s="1">
        <v>6.1</v>
      </c>
      <c r="AH30" s="1">
        <v>2.5</v>
      </c>
      <c r="AI30" s="1">
        <v>2</v>
      </c>
      <c r="AJ30" s="1">
        <v>4.7</v>
      </c>
      <c r="AK30" s="1">
        <v>3.8</v>
      </c>
      <c r="AL30" s="1">
        <v>10.9</v>
      </c>
      <c r="AM30" s="1">
        <v>22.6</v>
      </c>
      <c r="AN30" s="1">
        <v>59.9</v>
      </c>
      <c r="AO30" s="1">
        <v>12</v>
      </c>
      <c r="AP30" s="1">
        <v>6.3</v>
      </c>
      <c r="AQ30" s="1">
        <v>4.4000000000000004</v>
      </c>
      <c r="AR30" s="1">
        <v>3.2</v>
      </c>
      <c r="AS30" s="1">
        <v>3.1</v>
      </c>
      <c r="AT30" s="1">
        <v>0</v>
      </c>
      <c r="AU30">
        <v>316.5</v>
      </c>
      <c r="AV30">
        <v>0</v>
      </c>
      <c r="AW30">
        <v>5</v>
      </c>
      <c r="AX30">
        <v>10.4</v>
      </c>
      <c r="AY30">
        <v>289</v>
      </c>
      <c r="AZ30">
        <v>116.8</v>
      </c>
      <c r="BA30">
        <v>347.3</v>
      </c>
      <c r="BB30">
        <v>616</v>
      </c>
      <c r="BC30">
        <v>-844.8</v>
      </c>
      <c r="BD30" s="10">
        <f t="shared" si="0"/>
        <v>856.2</v>
      </c>
      <c r="BE30" s="10">
        <f t="shared" si="1"/>
        <v>1289.6000000000001</v>
      </c>
    </row>
    <row r="31" spans="1:57" x14ac:dyDescent="0.3">
      <c r="A31" s="19" t="s">
        <v>83</v>
      </c>
      <c r="B31" s="8">
        <v>81.900000000000006</v>
      </c>
      <c r="C31" s="8">
        <v>0.5</v>
      </c>
      <c r="D31" s="8">
        <v>1.5</v>
      </c>
      <c r="E31" s="8">
        <v>4.3</v>
      </c>
      <c r="F31" s="8">
        <v>0.8</v>
      </c>
      <c r="G31" s="9">
        <v>175.6</v>
      </c>
      <c r="H31" s="9">
        <v>10.1</v>
      </c>
      <c r="I31" s="9">
        <v>9.4</v>
      </c>
      <c r="J31" s="9">
        <v>17.8</v>
      </c>
      <c r="K31" s="9">
        <v>101.2</v>
      </c>
      <c r="L31" s="9">
        <v>23.1</v>
      </c>
      <c r="M31" s="9">
        <v>8.4</v>
      </c>
      <c r="N31" s="9">
        <v>35</v>
      </c>
      <c r="O31" s="9">
        <v>60.7</v>
      </c>
      <c r="P31" s="9">
        <v>17.899999999999999</v>
      </c>
      <c r="Q31" s="9">
        <v>33</v>
      </c>
      <c r="R31" s="9">
        <v>162.69999999999999</v>
      </c>
      <c r="S31" s="9">
        <v>51.4</v>
      </c>
      <c r="T31" s="9">
        <v>23.4</v>
      </c>
      <c r="U31" s="9">
        <v>75.400000000000006</v>
      </c>
      <c r="V31" s="9">
        <v>3.6</v>
      </c>
      <c r="W31" s="9">
        <v>20.399999999999999</v>
      </c>
      <c r="X31" s="9">
        <v>127.7</v>
      </c>
      <c r="Y31" s="9">
        <v>22.8</v>
      </c>
      <c r="Z31" s="9">
        <v>176.4</v>
      </c>
      <c r="AA31" s="1">
        <v>639.79999999999995</v>
      </c>
      <c r="AB31" s="1">
        <v>1208.4000000000001</v>
      </c>
      <c r="AC31" s="1">
        <v>22</v>
      </c>
      <c r="AD31" s="1">
        <v>375.2</v>
      </c>
      <c r="AE31" s="1">
        <v>177.5</v>
      </c>
      <c r="AF31" s="1">
        <v>13.6</v>
      </c>
      <c r="AG31" s="1">
        <v>22.8</v>
      </c>
      <c r="AH31" s="1">
        <v>14.3</v>
      </c>
      <c r="AI31" s="1">
        <v>20</v>
      </c>
      <c r="AJ31" s="1">
        <v>9.1</v>
      </c>
      <c r="AK31" s="1">
        <v>10.8</v>
      </c>
      <c r="AL31" s="1">
        <v>42.7</v>
      </c>
      <c r="AM31" s="1">
        <v>40.9</v>
      </c>
      <c r="AN31" s="1">
        <v>38.1</v>
      </c>
      <c r="AO31" s="1">
        <v>200.8</v>
      </c>
      <c r="AP31" s="1">
        <v>9.6</v>
      </c>
      <c r="AQ31" s="1">
        <v>13.2</v>
      </c>
      <c r="AR31" s="1">
        <v>12.9</v>
      </c>
      <c r="AS31" s="1">
        <v>27.8</v>
      </c>
      <c r="AT31" s="1">
        <v>0</v>
      </c>
      <c r="AU31">
        <v>257.8</v>
      </c>
      <c r="AV31">
        <v>0</v>
      </c>
      <c r="AW31">
        <v>304.8</v>
      </c>
      <c r="AX31">
        <v>79.2</v>
      </c>
      <c r="AY31">
        <v>23.8</v>
      </c>
      <c r="AZ31">
        <v>17.2</v>
      </c>
      <c r="BA31">
        <v>17.2</v>
      </c>
      <c r="BB31">
        <v>1475.9</v>
      </c>
      <c r="BC31">
        <v>-1390</v>
      </c>
      <c r="BD31" s="10">
        <f t="shared" si="0"/>
        <v>785.90000000000009</v>
      </c>
      <c r="BE31" s="10">
        <f t="shared" si="1"/>
        <v>4930.3999999999996</v>
      </c>
    </row>
    <row r="32" spans="1:57" x14ac:dyDescent="0.3">
      <c r="A32" s="19" t="s">
        <v>84</v>
      </c>
      <c r="B32" s="8">
        <v>19.5</v>
      </c>
      <c r="C32" s="8">
        <v>0.1</v>
      </c>
      <c r="D32" s="8">
        <v>0.3</v>
      </c>
      <c r="E32" s="8">
        <v>0.6</v>
      </c>
      <c r="F32" s="8">
        <v>0.1</v>
      </c>
      <c r="G32" s="9">
        <v>20.100000000000001</v>
      </c>
      <c r="H32" s="9">
        <v>3</v>
      </c>
      <c r="I32" s="9">
        <v>1.7</v>
      </c>
      <c r="J32" s="9">
        <v>4</v>
      </c>
      <c r="K32" s="9">
        <v>5.4</v>
      </c>
      <c r="L32" s="9">
        <v>7.4</v>
      </c>
      <c r="M32" s="9">
        <v>8.6</v>
      </c>
      <c r="N32" s="9">
        <v>6.2</v>
      </c>
      <c r="O32" s="9">
        <v>5.0999999999999996</v>
      </c>
      <c r="P32" s="9">
        <v>2.2999999999999998</v>
      </c>
      <c r="Q32" s="9">
        <v>6.1</v>
      </c>
      <c r="R32" s="9">
        <v>8.8000000000000007</v>
      </c>
      <c r="S32" s="9">
        <v>6.5</v>
      </c>
      <c r="T32" s="9">
        <v>5.6</v>
      </c>
      <c r="U32" s="9">
        <v>12.6</v>
      </c>
      <c r="V32" s="9">
        <v>0.6</v>
      </c>
      <c r="W32" s="9">
        <v>4.7</v>
      </c>
      <c r="X32" s="9">
        <v>30</v>
      </c>
      <c r="Y32" s="9">
        <v>12.4</v>
      </c>
      <c r="Z32" s="9">
        <v>28.5</v>
      </c>
      <c r="AA32" s="1">
        <v>122.4</v>
      </c>
      <c r="AB32" s="1">
        <v>21.7</v>
      </c>
      <c r="AC32" s="1">
        <v>0.6</v>
      </c>
      <c r="AD32" s="1">
        <v>4.4000000000000004</v>
      </c>
      <c r="AE32" s="1">
        <v>22.7</v>
      </c>
      <c r="AF32" s="1">
        <v>86.5</v>
      </c>
      <c r="AG32" s="1">
        <v>15.7</v>
      </c>
      <c r="AH32" s="1">
        <v>54.3</v>
      </c>
      <c r="AI32" s="1">
        <v>61.9</v>
      </c>
      <c r="AJ32" s="1">
        <v>7.2</v>
      </c>
      <c r="AK32" s="1">
        <v>220.9</v>
      </c>
      <c r="AL32" s="1">
        <v>68.599999999999994</v>
      </c>
      <c r="AM32" s="1">
        <v>47.3</v>
      </c>
      <c r="AN32" s="1">
        <v>27.8</v>
      </c>
      <c r="AO32" s="1">
        <v>225.6</v>
      </c>
      <c r="AP32" s="1">
        <v>31.4</v>
      </c>
      <c r="AQ32" s="1">
        <v>40.5</v>
      </c>
      <c r="AR32" s="1">
        <v>31.1</v>
      </c>
      <c r="AS32" s="1">
        <v>22.9</v>
      </c>
      <c r="AT32" s="1">
        <v>0</v>
      </c>
      <c r="AU32">
        <v>170.6</v>
      </c>
      <c r="AV32">
        <v>0</v>
      </c>
      <c r="AW32">
        <v>6.6</v>
      </c>
      <c r="AX32">
        <v>4.4000000000000004</v>
      </c>
      <c r="AY32">
        <v>5.9</v>
      </c>
      <c r="AZ32">
        <v>4.0999999999999996</v>
      </c>
      <c r="BA32">
        <v>13</v>
      </c>
      <c r="BB32">
        <v>119.7</v>
      </c>
      <c r="BC32">
        <v>-426.3</v>
      </c>
      <c r="BD32" s="10">
        <f t="shared" si="0"/>
        <v>-102</v>
      </c>
      <c r="BE32" s="10">
        <f t="shared" si="1"/>
        <v>1211.6999999999998</v>
      </c>
    </row>
    <row r="33" spans="1:57" x14ac:dyDescent="0.3">
      <c r="A33" s="19" t="s">
        <v>85</v>
      </c>
      <c r="B33" s="8">
        <v>2.7</v>
      </c>
      <c r="C33" s="8">
        <v>0</v>
      </c>
      <c r="D33" s="8">
        <v>1</v>
      </c>
      <c r="E33" s="8">
        <v>0.2</v>
      </c>
      <c r="F33" s="8">
        <v>0.2</v>
      </c>
      <c r="G33" s="9">
        <v>8.5</v>
      </c>
      <c r="H33" s="9">
        <v>1.3</v>
      </c>
      <c r="I33" s="9">
        <v>0.8</v>
      </c>
      <c r="J33" s="9">
        <v>1.7</v>
      </c>
      <c r="K33" s="9">
        <v>1.4</v>
      </c>
      <c r="L33" s="9">
        <v>2.1</v>
      </c>
      <c r="M33" s="9">
        <v>3.6</v>
      </c>
      <c r="N33" s="9">
        <v>3.4</v>
      </c>
      <c r="O33" s="9">
        <v>1.9</v>
      </c>
      <c r="P33" s="9">
        <v>2.2999999999999998</v>
      </c>
      <c r="Q33" s="9">
        <v>4.0999999999999996</v>
      </c>
      <c r="R33" s="9">
        <v>11.8</v>
      </c>
      <c r="S33" s="9">
        <v>5.7</v>
      </c>
      <c r="T33" s="9">
        <v>5.2</v>
      </c>
      <c r="U33" s="9">
        <v>10.8</v>
      </c>
      <c r="V33" s="9">
        <v>0.5</v>
      </c>
      <c r="W33" s="9">
        <v>2.2999999999999998</v>
      </c>
      <c r="X33" s="9">
        <v>3</v>
      </c>
      <c r="Y33" s="9">
        <v>0.7</v>
      </c>
      <c r="Z33" s="9">
        <v>15.3</v>
      </c>
      <c r="AA33" s="1">
        <v>53.5</v>
      </c>
      <c r="AB33" s="1">
        <v>9.6</v>
      </c>
      <c r="AC33" s="1">
        <v>0.1</v>
      </c>
      <c r="AD33" s="1">
        <v>2.2000000000000002</v>
      </c>
      <c r="AE33" s="1">
        <v>8.6</v>
      </c>
      <c r="AF33" s="1">
        <v>1.7</v>
      </c>
      <c r="AG33" s="1">
        <v>199.6</v>
      </c>
      <c r="AH33" s="1">
        <v>3.9</v>
      </c>
      <c r="AI33" s="1">
        <v>3.2</v>
      </c>
      <c r="AJ33" s="1">
        <v>10.6</v>
      </c>
      <c r="AK33" s="1">
        <v>20.399999999999999</v>
      </c>
      <c r="AL33" s="1">
        <v>9.5</v>
      </c>
      <c r="AM33" s="1">
        <v>54.5</v>
      </c>
      <c r="AN33" s="1">
        <v>206.8</v>
      </c>
      <c r="AO33" s="1">
        <v>85.8</v>
      </c>
      <c r="AP33" s="1">
        <v>27.1</v>
      </c>
      <c r="AQ33" s="1">
        <v>86.1</v>
      </c>
      <c r="AR33" s="1">
        <v>14.5</v>
      </c>
      <c r="AS33" s="1">
        <v>67.099999999999994</v>
      </c>
      <c r="AT33" s="1">
        <v>0</v>
      </c>
      <c r="AU33">
        <v>3449.3</v>
      </c>
      <c r="AV33">
        <v>0.2</v>
      </c>
      <c r="AW33">
        <v>437.4</v>
      </c>
      <c r="AX33">
        <v>3.1</v>
      </c>
      <c r="AY33">
        <v>0.4</v>
      </c>
      <c r="AZ33">
        <v>834.3</v>
      </c>
      <c r="BA33">
        <v>1616.5</v>
      </c>
      <c r="BB33">
        <v>2.1</v>
      </c>
      <c r="BC33">
        <v>-848.2</v>
      </c>
      <c r="BD33" s="10">
        <f t="shared" si="0"/>
        <v>5495.1</v>
      </c>
      <c r="BE33" s="10">
        <f t="shared" si="1"/>
        <v>6450.4000000000005</v>
      </c>
    </row>
    <row r="34" spans="1:57" x14ac:dyDescent="0.3">
      <c r="A34" s="19" t="s">
        <v>86</v>
      </c>
      <c r="B34" s="8">
        <v>10.199999999999999</v>
      </c>
      <c r="C34" s="8">
        <v>0.2</v>
      </c>
      <c r="D34" s="8">
        <v>0</v>
      </c>
      <c r="E34" s="8">
        <v>0.4</v>
      </c>
      <c r="F34" s="8">
        <v>0.1</v>
      </c>
      <c r="G34" s="9">
        <v>92</v>
      </c>
      <c r="H34" s="9">
        <v>2.5</v>
      </c>
      <c r="I34" s="9">
        <v>2.6</v>
      </c>
      <c r="J34" s="9">
        <v>13.8</v>
      </c>
      <c r="K34" s="9">
        <v>5.8</v>
      </c>
      <c r="L34" s="9">
        <v>12.9</v>
      </c>
      <c r="M34" s="9">
        <v>34.4</v>
      </c>
      <c r="N34" s="9">
        <v>20.2</v>
      </c>
      <c r="O34" s="9">
        <v>6.6</v>
      </c>
      <c r="P34" s="9">
        <v>1.7</v>
      </c>
      <c r="Q34" s="9">
        <v>7.6</v>
      </c>
      <c r="R34" s="9">
        <v>56.7</v>
      </c>
      <c r="S34" s="9">
        <v>13.2</v>
      </c>
      <c r="T34" s="9">
        <v>5</v>
      </c>
      <c r="U34" s="9">
        <v>26.9</v>
      </c>
      <c r="V34" s="9">
        <v>0.5</v>
      </c>
      <c r="W34" s="9">
        <v>7.1</v>
      </c>
      <c r="X34" s="9">
        <v>10.8</v>
      </c>
      <c r="Y34" s="9">
        <v>7.1</v>
      </c>
      <c r="Z34" s="9">
        <v>20</v>
      </c>
      <c r="AA34" s="1">
        <v>460.7</v>
      </c>
      <c r="AB34" s="1">
        <v>19.899999999999999</v>
      </c>
      <c r="AC34" s="1">
        <v>0.4</v>
      </c>
      <c r="AD34" s="1">
        <v>2.8</v>
      </c>
      <c r="AE34" s="1">
        <v>10.199999999999999</v>
      </c>
      <c r="AF34" s="1">
        <v>6</v>
      </c>
      <c r="AG34" s="1">
        <v>32.6</v>
      </c>
      <c r="AH34" s="1">
        <v>412.8</v>
      </c>
      <c r="AI34" s="1">
        <v>118.8</v>
      </c>
      <c r="AJ34" s="1">
        <v>14.1</v>
      </c>
      <c r="AK34" s="1">
        <v>37.1</v>
      </c>
      <c r="AL34" s="1">
        <v>65</v>
      </c>
      <c r="AM34" s="1">
        <v>164.3</v>
      </c>
      <c r="AN34" s="1">
        <v>117.1</v>
      </c>
      <c r="AO34" s="1">
        <v>37.5</v>
      </c>
      <c r="AP34" s="1">
        <v>113.8</v>
      </c>
      <c r="AQ34" s="1">
        <v>12.4</v>
      </c>
      <c r="AR34" s="1">
        <v>92.3</v>
      </c>
      <c r="AS34" s="1">
        <v>120.9</v>
      </c>
      <c r="AT34" s="1">
        <v>0</v>
      </c>
      <c r="AU34">
        <v>637</v>
      </c>
      <c r="AV34">
        <v>0.1</v>
      </c>
      <c r="AW34">
        <v>287.3</v>
      </c>
      <c r="AX34">
        <v>561.70000000000005</v>
      </c>
      <c r="AY34">
        <v>2.4</v>
      </c>
      <c r="AZ34">
        <v>12.1</v>
      </c>
      <c r="BA34">
        <v>23.4</v>
      </c>
      <c r="BB34">
        <v>1020.8</v>
      </c>
      <c r="BC34">
        <v>-1216.5</v>
      </c>
      <c r="BD34" s="10">
        <f t="shared" si="0"/>
        <v>1328.3000000000002</v>
      </c>
      <c r="BE34" s="10">
        <f t="shared" si="1"/>
        <v>3525.3</v>
      </c>
    </row>
    <row r="35" spans="1:57" x14ac:dyDescent="0.3">
      <c r="A35" s="19" t="s">
        <v>87</v>
      </c>
      <c r="B35" s="8">
        <v>20.8</v>
      </c>
      <c r="C35" s="8">
        <v>0.6</v>
      </c>
      <c r="D35" s="8">
        <v>0.7</v>
      </c>
      <c r="E35" s="8">
        <v>1.4</v>
      </c>
      <c r="F35" s="8">
        <v>0.4</v>
      </c>
      <c r="G35" s="9">
        <v>46.2</v>
      </c>
      <c r="H35" s="9">
        <v>5.7</v>
      </c>
      <c r="I35" s="9">
        <v>5.8</v>
      </c>
      <c r="J35" s="9">
        <v>10.5</v>
      </c>
      <c r="K35" s="9">
        <v>17.2</v>
      </c>
      <c r="L35" s="9">
        <v>10.3</v>
      </c>
      <c r="M35" s="9">
        <v>7.8</v>
      </c>
      <c r="N35" s="9">
        <v>16.2</v>
      </c>
      <c r="O35" s="9">
        <v>13.4</v>
      </c>
      <c r="P35" s="9">
        <v>6.5</v>
      </c>
      <c r="Q35" s="9">
        <v>16.5</v>
      </c>
      <c r="R35" s="9">
        <v>46.4</v>
      </c>
      <c r="S35" s="9">
        <v>14.5</v>
      </c>
      <c r="T35" s="9">
        <v>19.5</v>
      </c>
      <c r="U35" s="9">
        <v>30.2</v>
      </c>
      <c r="V35" s="9">
        <v>2.2000000000000002</v>
      </c>
      <c r="W35" s="9">
        <v>13.4</v>
      </c>
      <c r="X35" s="9">
        <v>21.3</v>
      </c>
      <c r="Y35" s="9">
        <v>21.2</v>
      </c>
      <c r="Z35" s="9">
        <v>96.3</v>
      </c>
      <c r="AA35" s="1">
        <v>302</v>
      </c>
      <c r="AB35" s="1">
        <v>85.5</v>
      </c>
      <c r="AC35" s="1">
        <v>1.5</v>
      </c>
      <c r="AD35" s="1">
        <v>5.0999999999999996</v>
      </c>
      <c r="AE35" s="1">
        <v>35.1</v>
      </c>
      <c r="AF35" s="1">
        <v>11.3</v>
      </c>
      <c r="AG35" s="1">
        <v>33.299999999999997</v>
      </c>
      <c r="AH35" s="1">
        <v>93.9</v>
      </c>
      <c r="AI35" s="1">
        <v>180.7</v>
      </c>
      <c r="AJ35" s="1">
        <v>64.599999999999994</v>
      </c>
      <c r="AK35" s="1">
        <v>131</v>
      </c>
      <c r="AL35" s="1">
        <v>85.6</v>
      </c>
      <c r="AM35" s="1">
        <v>150.80000000000001</v>
      </c>
      <c r="AN35" s="1">
        <v>81.5</v>
      </c>
      <c r="AO35" s="1">
        <v>164.6</v>
      </c>
      <c r="AP35" s="1">
        <v>68.5</v>
      </c>
      <c r="AQ35" s="1">
        <v>74.099999999999994</v>
      </c>
      <c r="AR35" s="1">
        <v>80.400000000000006</v>
      </c>
      <c r="AS35" s="1">
        <v>66</v>
      </c>
      <c r="AT35" s="1">
        <v>0</v>
      </c>
      <c r="AU35">
        <v>2810.7</v>
      </c>
      <c r="AV35">
        <v>0</v>
      </c>
      <c r="AW35">
        <v>7.6</v>
      </c>
      <c r="AX35">
        <v>119.6</v>
      </c>
      <c r="AY35">
        <v>2.2000000000000002</v>
      </c>
      <c r="AZ35">
        <v>48.4</v>
      </c>
      <c r="BA35">
        <v>128.9</v>
      </c>
      <c r="BB35">
        <v>602.29999999999995</v>
      </c>
      <c r="BC35">
        <v>-553.79999999999995</v>
      </c>
      <c r="BD35" s="10">
        <f t="shared" si="0"/>
        <v>3165.8999999999996</v>
      </c>
      <c r="BE35" s="10">
        <f t="shared" si="1"/>
        <v>5326.3999999999987</v>
      </c>
    </row>
    <row r="36" spans="1:57" x14ac:dyDescent="0.3">
      <c r="A36" s="19" t="s">
        <v>88</v>
      </c>
      <c r="B36" s="8">
        <v>15.4</v>
      </c>
      <c r="C36" s="8">
        <v>0.2</v>
      </c>
      <c r="D36" s="8">
        <v>0.2</v>
      </c>
      <c r="E36" s="8">
        <v>1.1000000000000001</v>
      </c>
      <c r="F36" s="8">
        <v>3.1</v>
      </c>
      <c r="G36" s="9">
        <v>94</v>
      </c>
      <c r="H36" s="9">
        <v>4</v>
      </c>
      <c r="I36" s="9">
        <v>2.7</v>
      </c>
      <c r="J36" s="9">
        <v>10.8</v>
      </c>
      <c r="K36" s="9">
        <v>8.1</v>
      </c>
      <c r="L36" s="9">
        <v>13.7</v>
      </c>
      <c r="M36" s="9">
        <v>10.3</v>
      </c>
      <c r="N36" s="9">
        <v>18</v>
      </c>
      <c r="O36" s="9">
        <v>17.399999999999999</v>
      </c>
      <c r="P36" s="9">
        <v>19.3</v>
      </c>
      <c r="Q36" s="9">
        <v>16.399999999999999</v>
      </c>
      <c r="R36" s="9">
        <v>460.1</v>
      </c>
      <c r="S36" s="9">
        <v>37.9</v>
      </c>
      <c r="T36" s="9">
        <v>16.7</v>
      </c>
      <c r="U36" s="9">
        <v>56.9</v>
      </c>
      <c r="V36" s="9">
        <v>2.4</v>
      </c>
      <c r="W36" s="9">
        <v>12</v>
      </c>
      <c r="X36" s="9">
        <v>91.2</v>
      </c>
      <c r="Y36" s="9">
        <v>33.4</v>
      </c>
      <c r="Z36" s="9">
        <v>83.9</v>
      </c>
      <c r="AA36" s="1">
        <v>496</v>
      </c>
      <c r="AB36" s="1">
        <v>93.5</v>
      </c>
      <c r="AC36" s="1">
        <v>0.7</v>
      </c>
      <c r="AD36" s="1">
        <v>26.7</v>
      </c>
      <c r="AE36" s="1">
        <v>68.3</v>
      </c>
      <c r="AF36" s="1">
        <v>20.3</v>
      </c>
      <c r="AG36" s="1">
        <v>24.6</v>
      </c>
      <c r="AH36" s="1">
        <v>163.9</v>
      </c>
      <c r="AI36" s="1">
        <v>183.2</v>
      </c>
      <c r="AJ36" s="1">
        <v>385.7</v>
      </c>
      <c r="AK36" s="1">
        <v>435.4</v>
      </c>
      <c r="AL36" s="1">
        <v>116.6</v>
      </c>
      <c r="AM36" s="1">
        <v>171.9</v>
      </c>
      <c r="AN36" s="1">
        <v>68.599999999999994</v>
      </c>
      <c r="AO36" s="1">
        <v>226.9</v>
      </c>
      <c r="AP36" s="1">
        <v>49.6</v>
      </c>
      <c r="AQ36" s="1">
        <v>50.2</v>
      </c>
      <c r="AR36" s="1">
        <v>36.799999999999997</v>
      </c>
      <c r="AS36" s="1">
        <v>38.6</v>
      </c>
      <c r="AT36" s="1">
        <v>0</v>
      </c>
      <c r="AU36">
        <v>69.900000000000006</v>
      </c>
      <c r="AV36">
        <v>0</v>
      </c>
      <c r="AW36">
        <v>19.899999999999999</v>
      </c>
      <c r="AX36">
        <v>846.6</v>
      </c>
      <c r="AY36">
        <v>3.6</v>
      </c>
      <c r="AZ36">
        <v>3.1</v>
      </c>
      <c r="BA36">
        <v>4</v>
      </c>
      <c r="BB36">
        <v>1040.2</v>
      </c>
      <c r="BC36">
        <v>-1960.1</v>
      </c>
      <c r="BD36" s="10">
        <f t="shared" si="0"/>
        <v>27.200000000000273</v>
      </c>
      <c r="BE36" s="10">
        <f t="shared" si="1"/>
        <v>3713.900000000001</v>
      </c>
    </row>
    <row r="37" spans="1:57" x14ac:dyDescent="0.3">
      <c r="A37" s="19" t="s">
        <v>89</v>
      </c>
      <c r="B37" s="8">
        <v>231.3</v>
      </c>
      <c r="C37" s="8">
        <v>1.5</v>
      </c>
      <c r="D37" s="8">
        <v>2</v>
      </c>
      <c r="E37" s="8">
        <v>6.9</v>
      </c>
      <c r="F37" s="8">
        <v>2.7</v>
      </c>
      <c r="G37" s="9">
        <v>153.9</v>
      </c>
      <c r="H37" s="9">
        <v>19.8</v>
      </c>
      <c r="I37" s="9">
        <v>21.3</v>
      </c>
      <c r="J37" s="9">
        <v>42.7</v>
      </c>
      <c r="K37" s="9">
        <v>89.7</v>
      </c>
      <c r="L37" s="9">
        <v>62.5</v>
      </c>
      <c r="M37" s="9">
        <v>36.200000000000003</v>
      </c>
      <c r="N37" s="9">
        <v>71.599999999999994</v>
      </c>
      <c r="O37" s="9">
        <v>40.4</v>
      </c>
      <c r="P37" s="9">
        <v>34.6</v>
      </c>
      <c r="Q37" s="9">
        <v>85.2</v>
      </c>
      <c r="R37" s="9">
        <v>108</v>
      </c>
      <c r="S37" s="9">
        <v>62.6</v>
      </c>
      <c r="T37" s="9">
        <v>54.5</v>
      </c>
      <c r="U37" s="9">
        <v>91.2</v>
      </c>
      <c r="V37" s="9">
        <v>7.5</v>
      </c>
      <c r="W37" s="9">
        <v>49.6</v>
      </c>
      <c r="X37" s="9">
        <v>149.80000000000001</v>
      </c>
      <c r="Y37" s="9">
        <v>62.4</v>
      </c>
      <c r="Z37" s="9">
        <v>454.4</v>
      </c>
      <c r="AA37" s="1">
        <v>1199.9000000000001</v>
      </c>
      <c r="AB37" s="1">
        <v>213.4</v>
      </c>
      <c r="AC37" s="1">
        <v>6.8</v>
      </c>
      <c r="AD37" s="1">
        <v>38.5</v>
      </c>
      <c r="AE37" s="1">
        <v>169.4</v>
      </c>
      <c r="AF37" s="1">
        <v>16.3</v>
      </c>
      <c r="AG37" s="1">
        <v>186.6</v>
      </c>
      <c r="AH37" s="1">
        <v>44.2</v>
      </c>
      <c r="AI37" s="1">
        <v>84.6</v>
      </c>
      <c r="AJ37" s="1">
        <v>83.3</v>
      </c>
      <c r="AK37" s="1">
        <v>2280.9</v>
      </c>
      <c r="AL37" s="1">
        <v>1060.5999999999999</v>
      </c>
      <c r="AM37" s="1">
        <v>419.2</v>
      </c>
      <c r="AN37" s="1">
        <v>215</v>
      </c>
      <c r="AO37" s="1">
        <v>382.1</v>
      </c>
      <c r="AP37" s="1">
        <v>45.2</v>
      </c>
      <c r="AQ37" s="1">
        <v>73.5</v>
      </c>
      <c r="AR37" s="1">
        <v>47.5</v>
      </c>
      <c r="AS37" s="1">
        <v>128.6</v>
      </c>
      <c r="AT37" s="1">
        <v>0</v>
      </c>
      <c r="AU37">
        <v>3522.8</v>
      </c>
      <c r="AV37">
        <v>0</v>
      </c>
      <c r="AW37">
        <v>62.1</v>
      </c>
      <c r="AX37">
        <v>113.1</v>
      </c>
      <c r="AY37">
        <v>1</v>
      </c>
      <c r="AZ37">
        <v>42.8</v>
      </c>
      <c r="BA37">
        <v>120.8</v>
      </c>
      <c r="BB37">
        <v>424.3</v>
      </c>
      <c r="BC37">
        <v>-1524.4</v>
      </c>
      <c r="BD37" s="10">
        <f t="shared" si="0"/>
        <v>2762.5000000000005</v>
      </c>
      <c r="BE37" s="10">
        <f t="shared" si="1"/>
        <v>11400.4</v>
      </c>
    </row>
    <row r="38" spans="1:57" x14ac:dyDescent="0.3">
      <c r="A38" s="19" t="s">
        <v>90</v>
      </c>
      <c r="B38" s="8">
        <v>52.3</v>
      </c>
      <c r="C38" s="8">
        <v>0.7</v>
      </c>
      <c r="D38" s="8">
        <v>4.4000000000000004</v>
      </c>
      <c r="E38" s="8">
        <v>3.2</v>
      </c>
      <c r="F38" s="8">
        <v>0.3</v>
      </c>
      <c r="G38" s="9">
        <v>149.1</v>
      </c>
      <c r="H38" s="9">
        <v>14.4</v>
      </c>
      <c r="I38" s="9">
        <v>14.6</v>
      </c>
      <c r="J38" s="9">
        <v>35.200000000000003</v>
      </c>
      <c r="K38" s="9">
        <v>18.899999999999999</v>
      </c>
      <c r="L38" s="9">
        <v>32.700000000000003</v>
      </c>
      <c r="M38" s="9">
        <v>48.7</v>
      </c>
      <c r="N38" s="9">
        <v>72.400000000000006</v>
      </c>
      <c r="O38" s="9">
        <v>34</v>
      </c>
      <c r="P38" s="9">
        <v>28.5</v>
      </c>
      <c r="Q38" s="9">
        <v>54.6</v>
      </c>
      <c r="R38" s="9">
        <v>134.30000000000001</v>
      </c>
      <c r="S38" s="9">
        <v>48.1</v>
      </c>
      <c r="T38" s="9">
        <v>53.6</v>
      </c>
      <c r="U38" s="9">
        <v>142.9</v>
      </c>
      <c r="V38" s="9">
        <v>10.1</v>
      </c>
      <c r="W38" s="9">
        <v>34.299999999999997</v>
      </c>
      <c r="X38" s="9">
        <v>171.7</v>
      </c>
      <c r="Y38" s="9">
        <v>94.9</v>
      </c>
      <c r="Z38" s="9">
        <v>288.39999999999998</v>
      </c>
      <c r="AA38" s="1">
        <v>1218.2</v>
      </c>
      <c r="AB38" s="1">
        <v>181.7</v>
      </c>
      <c r="AC38" s="1">
        <v>11.6</v>
      </c>
      <c r="AD38" s="1">
        <v>22.8</v>
      </c>
      <c r="AE38" s="1">
        <v>125.5</v>
      </c>
      <c r="AF38" s="1">
        <v>6.6</v>
      </c>
      <c r="AG38" s="1">
        <v>217.9</v>
      </c>
      <c r="AH38" s="1">
        <v>84.5</v>
      </c>
      <c r="AI38" s="1">
        <v>115.6</v>
      </c>
      <c r="AJ38" s="1">
        <v>128.5</v>
      </c>
      <c r="AK38" s="1">
        <v>214.7</v>
      </c>
      <c r="AL38" s="1">
        <v>355.8</v>
      </c>
      <c r="AM38" s="1">
        <v>402.2</v>
      </c>
      <c r="AN38" s="1">
        <v>208.9</v>
      </c>
      <c r="AO38" s="1">
        <v>319</v>
      </c>
      <c r="AP38" s="1">
        <v>158.1</v>
      </c>
      <c r="AQ38" s="1">
        <v>152.19999999999999</v>
      </c>
      <c r="AR38" s="1">
        <v>157.5</v>
      </c>
      <c r="AS38" s="1">
        <v>186.7</v>
      </c>
      <c r="AT38" s="1">
        <v>0</v>
      </c>
      <c r="AU38">
        <v>9728.2999999999993</v>
      </c>
      <c r="AV38">
        <v>0.6</v>
      </c>
      <c r="AW38">
        <v>288.3</v>
      </c>
      <c r="AX38">
        <v>901.4</v>
      </c>
      <c r="AY38">
        <v>0.9</v>
      </c>
      <c r="AZ38">
        <v>129.80000000000001</v>
      </c>
      <c r="BA38">
        <v>355.7</v>
      </c>
      <c r="BB38">
        <v>170</v>
      </c>
      <c r="BC38">
        <v>-360.1</v>
      </c>
      <c r="BD38" s="10">
        <f t="shared" si="0"/>
        <v>11214.899999999998</v>
      </c>
      <c r="BE38" s="10">
        <f t="shared" si="1"/>
        <v>17025.2</v>
      </c>
    </row>
    <row r="39" spans="1:57" x14ac:dyDescent="0.3">
      <c r="A39" s="19" t="s">
        <v>91</v>
      </c>
      <c r="B39" s="8">
        <v>79.2</v>
      </c>
      <c r="C39" s="8">
        <v>1.5</v>
      </c>
      <c r="D39" s="8">
        <v>6.9</v>
      </c>
      <c r="E39" s="8">
        <v>18.8</v>
      </c>
      <c r="F39" s="8">
        <v>11.8</v>
      </c>
      <c r="G39" s="9">
        <v>466.2</v>
      </c>
      <c r="H39" s="9">
        <v>26.5</v>
      </c>
      <c r="I39" s="9">
        <v>19.7</v>
      </c>
      <c r="J39" s="9">
        <v>44.7</v>
      </c>
      <c r="K39" s="9">
        <v>151.5</v>
      </c>
      <c r="L39" s="9">
        <v>70.599999999999994</v>
      </c>
      <c r="M39" s="9">
        <v>160</v>
      </c>
      <c r="N39" s="9">
        <v>118.2</v>
      </c>
      <c r="O39" s="9">
        <v>98.6</v>
      </c>
      <c r="P39" s="9">
        <v>28.4</v>
      </c>
      <c r="Q39" s="9">
        <v>98.1</v>
      </c>
      <c r="R39" s="9">
        <v>481.4</v>
      </c>
      <c r="S39" s="9">
        <v>99.3</v>
      </c>
      <c r="T39" s="9">
        <v>91.3</v>
      </c>
      <c r="U39" s="9">
        <v>757.9</v>
      </c>
      <c r="V39" s="9">
        <v>18.899999999999999</v>
      </c>
      <c r="W39" s="9">
        <v>70.7</v>
      </c>
      <c r="X39" s="9">
        <v>513.1</v>
      </c>
      <c r="Y39" s="9">
        <v>79.2</v>
      </c>
      <c r="Z39" s="9">
        <v>639.9</v>
      </c>
      <c r="AA39" s="1">
        <v>1952.6</v>
      </c>
      <c r="AB39" s="1">
        <v>145.19999999999999</v>
      </c>
      <c r="AC39" s="1">
        <v>44.1</v>
      </c>
      <c r="AD39" s="1">
        <v>42.8</v>
      </c>
      <c r="AE39" s="1">
        <v>153.30000000000001</v>
      </c>
      <c r="AF39" s="1">
        <v>11.9</v>
      </c>
      <c r="AG39" s="1">
        <v>129</v>
      </c>
      <c r="AH39" s="1">
        <v>124.3</v>
      </c>
      <c r="AI39" s="1">
        <v>308.60000000000002</v>
      </c>
      <c r="AJ39" s="1">
        <v>183.9</v>
      </c>
      <c r="AK39" s="1">
        <v>451.6</v>
      </c>
      <c r="AL39" s="1">
        <v>818.9</v>
      </c>
      <c r="AM39" s="1">
        <v>1464.4</v>
      </c>
      <c r="AN39" s="1">
        <v>388.8</v>
      </c>
      <c r="AO39" s="1">
        <v>208.4</v>
      </c>
      <c r="AP39" s="1">
        <v>70.7</v>
      </c>
      <c r="AQ39" s="1">
        <v>102.7</v>
      </c>
      <c r="AR39" s="1">
        <v>131.69999999999999</v>
      </c>
      <c r="AS39" s="1">
        <v>104.2</v>
      </c>
      <c r="AT39" s="1">
        <v>0</v>
      </c>
      <c r="AU39">
        <v>177</v>
      </c>
      <c r="AV39">
        <v>1.7</v>
      </c>
      <c r="AW39">
        <v>215.2</v>
      </c>
      <c r="AX39">
        <v>1305.7</v>
      </c>
      <c r="AY39">
        <v>10.6</v>
      </c>
      <c r="AZ39">
        <v>22.1</v>
      </c>
      <c r="BA39">
        <v>55.7</v>
      </c>
      <c r="BB39">
        <v>2900.7</v>
      </c>
      <c r="BC39">
        <v>-2998</v>
      </c>
      <c r="BD39" s="10">
        <f t="shared" si="0"/>
        <v>1690.6999999999998</v>
      </c>
      <c r="BE39" s="10">
        <f t="shared" si="1"/>
        <v>12680.200000000004</v>
      </c>
    </row>
    <row r="40" spans="1:57" x14ac:dyDescent="0.3">
      <c r="A40" s="19" t="s">
        <v>92</v>
      </c>
      <c r="B40" s="8">
        <v>47.2</v>
      </c>
      <c r="C40" s="8">
        <v>0.9</v>
      </c>
      <c r="D40" s="8">
        <v>13.8</v>
      </c>
      <c r="E40" s="8">
        <v>5.9</v>
      </c>
      <c r="F40" s="8">
        <v>5.5</v>
      </c>
      <c r="G40" s="9">
        <v>267.8</v>
      </c>
      <c r="H40" s="9">
        <v>32</v>
      </c>
      <c r="I40" s="9">
        <v>17.899999999999999</v>
      </c>
      <c r="J40" s="9">
        <v>58.5</v>
      </c>
      <c r="K40" s="9">
        <v>37.299999999999997</v>
      </c>
      <c r="L40" s="9">
        <v>55.1</v>
      </c>
      <c r="M40" s="9">
        <v>138.9</v>
      </c>
      <c r="N40" s="9">
        <v>87.1</v>
      </c>
      <c r="O40" s="9">
        <v>92</v>
      </c>
      <c r="P40" s="9">
        <v>49.4</v>
      </c>
      <c r="Q40" s="9">
        <v>110.6</v>
      </c>
      <c r="R40" s="9">
        <v>599.79999999999995</v>
      </c>
      <c r="S40" s="9">
        <v>183.1</v>
      </c>
      <c r="T40" s="9">
        <v>64.2</v>
      </c>
      <c r="U40" s="9">
        <v>260.3</v>
      </c>
      <c r="V40" s="9">
        <v>16</v>
      </c>
      <c r="W40" s="9">
        <v>71.5</v>
      </c>
      <c r="X40" s="9">
        <v>248</v>
      </c>
      <c r="Y40" s="9">
        <v>52</v>
      </c>
      <c r="Z40" s="9">
        <v>331</v>
      </c>
      <c r="AA40" s="1">
        <v>1313.4</v>
      </c>
      <c r="AB40" s="1">
        <v>241.9</v>
      </c>
      <c r="AC40" s="1">
        <v>11.6</v>
      </c>
      <c r="AD40" s="1">
        <v>91.9</v>
      </c>
      <c r="AE40" s="1">
        <v>80.900000000000006</v>
      </c>
      <c r="AF40" s="1">
        <v>14.3</v>
      </c>
      <c r="AG40" s="1">
        <v>120.8</v>
      </c>
      <c r="AH40" s="1">
        <v>43.7</v>
      </c>
      <c r="AI40" s="1">
        <v>156.30000000000001</v>
      </c>
      <c r="AJ40" s="1">
        <v>143.9</v>
      </c>
      <c r="AK40" s="1">
        <v>468.3</v>
      </c>
      <c r="AL40" s="1">
        <v>417.7</v>
      </c>
      <c r="AM40" s="1">
        <v>379</v>
      </c>
      <c r="AN40" s="1">
        <v>308.10000000000002</v>
      </c>
      <c r="AO40" s="1">
        <v>168.8</v>
      </c>
      <c r="AP40" s="1">
        <v>81.5</v>
      </c>
      <c r="AQ40" s="1">
        <v>126.1</v>
      </c>
      <c r="AR40" s="1">
        <v>146.30000000000001</v>
      </c>
      <c r="AS40" s="1">
        <v>72</v>
      </c>
      <c r="AT40" s="1">
        <v>0</v>
      </c>
      <c r="AU40">
        <v>478.9</v>
      </c>
      <c r="AV40">
        <v>0.4</v>
      </c>
      <c r="AW40">
        <v>125.4</v>
      </c>
      <c r="AX40">
        <v>145.80000000000001</v>
      </c>
      <c r="AY40">
        <v>6.8</v>
      </c>
      <c r="AZ40">
        <v>36.9</v>
      </c>
      <c r="BA40">
        <v>78.7</v>
      </c>
      <c r="BB40">
        <v>1469.4</v>
      </c>
      <c r="BC40">
        <v>-1908</v>
      </c>
      <c r="BD40" s="10">
        <f t="shared" si="0"/>
        <v>434.30000000000018</v>
      </c>
      <c r="BE40" s="10">
        <f t="shared" si="1"/>
        <v>7666.5999999999985</v>
      </c>
    </row>
    <row r="41" spans="1:57" x14ac:dyDescent="0.3">
      <c r="A41" s="19" t="s">
        <v>93</v>
      </c>
      <c r="B41" s="8">
        <v>45.5</v>
      </c>
      <c r="C41" s="8">
        <v>0.6</v>
      </c>
      <c r="D41" s="8">
        <v>1.4</v>
      </c>
      <c r="E41" s="8">
        <v>2.5</v>
      </c>
      <c r="F41" s="8">
        <v>1.7</v>
      </c>
      <c r="G41" s="9">
        <v>45.4</v>
      </c>
      <c r="H41" s="9">
        <v>3.2</v>
      </c>
      <c r="I41" s="9">
        <v>2.2999999999999998</v>
      </c>
      <c r="J41" s="9">
        <v>5.8</v>
      </c>
      <c r="K41" s="9">
        <v>11.2</v>
      </c>
      <c r="L41" s="9">
        <v>7.1</v>
      </c>
      <c r="M41" s="9">
        <v>4.3</v>
      </c>
      <c r="N41" s="9">
        <v>9.9</v>
      </c>
      <c r="O41" s="9">
        <v>7.9</v>
      </c>
      <c r="P41" s="9">
        <v>5</v>
      </c>
      <c r="Q41" s="9">
        <v>10.1</v>
      </c>
      <c r="R41" s="9">
        <v>43.5</v>
      </c>
      <c r="S41" s="9">
        <v>11.4</v>
      </c>
      <c r="T41" s="9">
        <v>8.6999999999999993</v>
      </c>
      <c r="U41" s="9">
        <v>34.200000000000003</v>
      </c>
      <c r="V41" s="9">
        <v>1.7</v>
      </c>
      <c r="W41" s="9">
        <v>6.1</v>
      </c>
      <c r="X41" s="9">
        <v>40.9</v>
      </c>
      <c r="Y41" s="9">
        <v>36.700000000000003</v>
      </c>
      <c r="Z41" s="9">
        <v>46.2</v>
      </c>
      <c r="AA41" s="1">
        <v>242.1</v>
      </c>
      <c r="AB41" s="1">
        <v>116.6</v>
      </c>
      <c r="AC41" s="1">
        <v>5.0999999999999996</v>
      </c>
      <c r="AD41" s="1">
        <v>23.9</v>
      </c>
      <c r="AE41" s="1">
        <v>39.299999999999997</v>
      </c>
      <c r="AF41" s="1">
        <v>3.1</v>
      </c>
      <c r="AG41" s="1">
        <v>27.8</v>
      </c>
      <c r="AH41" s="1">
        <v>10.6</v>
      </c>
      <c r="AI41" s="1">
        <v>95.6</v>
      </c>
      <c r="AJ41" s="1">
        <v>18.399999999999999</v>
      </c>
      <c r="AK41" s="1">
        <v>106.9</v>
      </c>
      <c r="AL41" s="1">
        <v>69.599999999999994</v>
      </c>
      <c r="AM41" s="1">
        <v>84.6</v>
      </c>
      <c r="AN41" s="1">
        <v>33.299999999999997</v>
      </c>
      <c r="AO41" s="1">
        <v>316.3</v>
      </c>
      <c r="AP41" s="1">
        <v>15.8</v>
      </c>
      <c r="AQ41" s="1">
        <v>8.6999999999999993</v>
      </c>
      <c r="AR41" s="1">
        <v>39.200000000000003</v>
      </c>
      <c r="AS41" s="1">
        <v>49</v>
      </c>
      <c r="AT41" s="1">
        <v>0</v>
      </c>
      <c r="AU41">
        <v>174.1</v>
      </c>
      <c r="AV41">
        <v>0.2</v>
      </c>
      <c r="AW41">
        <v>14156.3</v>
      </c>
      <c r="AX41">
        <v>26.7</v>
      </c>
      <c r="AY41">
        <v>0.7</v>
      </c>
      <c r="AZ41">
        <v>4.5999999999999996</v>
      </c>
      <c r="BA41">
        <v>0</v>
      </c>
      <c r="BB41">
        <v>87.3</v>
      </c>
      <c r="BC41">
        <v>-84.7</v>
      </c>
      <c r="BD41" s="10">
        <f t="shared" si="0"/>
        <v>14365.199999999999</v>
      </c>
      <c r="BE41" s="10">
        <f t="shared" si="1"/>
        <v>16064.4</v>
      </c>
    </row>
    <row r="42" spans="1:57" x14ac:dyDescent="0.3">
      <c r="A42" s="19" t="s">
        <v>94</v>
      </c>
      <c r="B42" s="8">
        <v>5</v>
      </c>
      <c r="C42" s="8">
        <v>0.1</v>
      </c>
      <c r="D42" s="8">
        <v>0.2</v>
      </c>
      <c r="E42" s="8">
        <v>0.1</v>
      </c>
      <c r="F42" s="8">
        <v>0.1</v>
      </c>
      <c r="G42" s="9">
        <v>11.8</v>
      </c>
      <c r="H42" s="9">
        <v>1.2</v>
      </c>
      <c r="I42" s="9">
        <v>1.2</v>
      </c>
      <c r="J42" s="9">
        <v>2.9</v>
      </c>
      <c r="K42" s="9">
        <v>2.8</v>
      </c>
      <c r="L42" s="9">
        <v>3</v>
      </c>
      <c r="M42" s="9">
        <v>5.4</v>
      </c>
      <c r="N42" s="9">
        <v>8.3000000000000007</v>
      </c>
      <c r="O42" s="9">
        <v>3.6</v>
      </c>
      <c r="P42" s="9">
        <v>2.6</v>
      </c>
      <c r="Q42" s="9">
        <v>3.6</v>
      </c>
      <c r="R42" s="9">
        <v>13.4</v>
      </c>
      <c r="S42" s="9">
        <v>6.4</v>
      </c>
      <c r="T42" s="9">
        <v>7</v>
      </c>
      <c r="U42" s="9">
        <v>13.8</v>
      </c>
      <c r="V42" s="9">
        <v>1.5</v>
      </c>
      <c r="W42" s="9">
        <v>2.8</v>
      </c>
      <c r="X42" s="9">
        <v>7.5</v>
      </c>
      <c r="Y42" s="9">
        <v>4.7</v>
      </c>
      <c r="Z42" s="9">
        <v>14.9</v>
      </c>
      <c r="AA42" s="1">
        <v>91.9</v>
      </c>
      <c r="AB42" s="1">
        <v>7.1</v>
      </c>
      <c r="AC42" s="1">
        <v>0.1</v>
      </c>
      <c r="AD42" s="1">
        <v>4.2</v>
      </c>
      <c r="AE42" s="1">
        <v>9.9</v>
      </c>
      <c r="AF42" s="1">
        <v>2.6</v>
      </c>
      <c r="AG42" s="1">
        <v>6.9</v>
      </c>
      <c r="AH42" s="1">
        <v>3.7</v>
      </c>
      <c r="AI42" s="1">
        <v>11.9</v>
      </c>
      <c r="AJ42" s="1">
        <v>13</v>
      </c>
      <c r="AK42" s="1">
        <v>42.4</v>
      </c>
      <c r="AL42" s="1">
        <v>10.9</v>
      </c>
      <c r="AM42" s="1">
        <v>38.799999999999997</v>
      </c>
      <c r="AN42" s="1">
        <v>18.399999999999999</v>
      </c>
      <c r="AO42" s="1">
        <v>43.5</v>
      </c>
      <c r="AP42" s="1">
        <v>215.4</v>
      </c>
      <c r="AQ42" s="1">
        <v>10.6</v>
      </c>
      <c r="AR42" s="1">
        <v>2</v>
      </c>
      <c r="AS42" s="1">
        <v>17.8</v>
      </c>
      <c r="AT42" s="1">
        <v>0</v>
      </c>
      <c r="AU42">
        <v>1061.8</v>
      </c>
      <c r="AV42">
        <v>544.6</v>
      </c>
      <c r="AW42">
        <v>6081.2</v>
      </c>
      <c r="AX42">
        <v>27.4</v>
      </c>
      <c r="AY42">
        <v>0.1</v>
      </c>
      <c r="AZ42">
        <v>137.30000000000001</v>
      </c>
      <c r="BA42">
        <v>126.8</v>
      </c>
      <c r="BB42">
        <v>3.6</v>
      </c>
      <c r="BC42">
        <v>-205.8</v>
      </c>
      <c r="BD42" s="10">
        <f t="shared" si="0"/>
        <v>7777.0000000000009</v>
      </c>
      <c r="BE42" s="10">
        <f t="shared" si="1"/>
        <v>8451.9999999999982</v>
      </c>
    </row>
    <row r="43" spans="1:57" x14ac:dyDescent="0.3">
      <c r="A43" s="19" t="s">
        <v>95</v>
      </c>
      <c r="B43" s="8">
        <v>1</v>
      </c>
      <c r="C43" s="8">
        <v>0.1</v>
      </c>
      <c r="D43" s="8">
        <v>0</v>
      </c>
      <c r="E43" s="8">
        <v>0</v>
      </c>
      <c r="F43" s="8">
        <v>0.1</v>
      </c>
      <c r="G43" s="9">
        <v>5.7</v>
      </c>
      <c r="H43" s="9">
        <v>1.4</v>
      </c>
      <c r="I43" s="9">
        <v>0.9</v>
      </c>
      <c r="J43" s="9">
        <v>1.2</v>
      </c>
      <c r="K43" s="9">
        <v>1.5</v>
      </c>
      <c r="L43" s="9">
        <v>2.2999999999999998</v>
      </c>
      <c r="M43" s="9">
        <v>25.4</v>
      </c>
      <c r="N43" s="9">
        <v>2.2999999999999998</v>
      </c>
      <c r="O43" s="9">
        <v>1.9</v>
      </c>
      <c r="P43" s="9">
        <v>2.5</v>
      </c>
      <c r="Q43" s="9">
        <v>2.2000000000000002</v>
      </c>
      <c r="R43" s="9">
        <v>7.4</v>
      </c>
      <c r="S43" s="9">
        <v>2.2999999999999998</v>
      </c>
      <c r="T43" s="9">
        <v>2.4</v>
      </c>
      <c r="U43" s="9">
        <v>5.9</v>
      </c>
      <c r="V43" s="9">
        <v>0.4</v>
      </c>
      <c r="W43" s="9">
        <v>3.4</v>
      </c>
      <c r="X43" s="9">
        <v>5.4</v>
      </c>
      <c r="Y43" s="9">
        <v>9.9</v>
      </c>
      <c r="Z43" s="9">
        <v>5.4</v>
      </c>
      <c r="AA43" s="1">
        <v>32.799999999999997</v>
      </c>
      <c r="AB43" s="1">
        <v>28.3</v>
      </c>
      <c r="AC43" s="1">
        <v>0.3</v>
      </c>
      <c r="AD43" s="1">
        <v>0.7</v>
      </c>
      <c r="AE43" s="1">
        <v>2.7</v>
      </c>
      <c r="AF43" s="1">
        <v>1.6</v>
      </c>
      <c r="AG43" s="1">
        <v>17</v>
      </c>
      <c r="AH43" s="1">
        <v>1</v>
      </c>
      <c r="AI43" s="1">
        <v>0.9</v>
      </c>
      <c r="AJ43" s="1">
        <v>1.9</v>
      </c>
      <c r="AK43" s="1">
        <v>5.4</v>
      </c>
      <c r="AL43" s="1">
        <v>4.5</v>
      </c>
      <c r="AM43" s="1">
        <v>5.5</v>
      </c>
      <c r="AN43" s="1">
        <v>10</v>
      </c>
      <c r="AO43" s="1">
        <v>1.9</v>
      </c>
      <c r="AP43" s="1">
        <v>2.6</v>
      </c>
      <c r="AQ43" s="1">
        <v>399.2</v>
      </c>
      <c r="AR43" s="1">
        <v>3.4</v>
      </c>
      <c r="AS43" s="1">
        <v>13.2</v>
      </c>
      <c r="AT43" s="1">
        <v>0</v>
      </c>
      <c r="AU43">
        <v>1619.8</v>
      </c>
      <c r="AV43">
        <v>443.1</v>
      </c>
      <c r="AW43">
        <v>6286.8</v>
      </c>
      <c r="AX43">
        <v>5.5</v>
      </c>
      <c r="AY43">
        <v>0.3</v>
      </c>
      <c r="AZ43">
        <v>42.3</v>
      </c>
      <c r="BA43">
        <v>104.6</v>
      </c>
      <c r="BB43">
        <v>2.4</v>
      </c>
      <c r="BC43">
        <v>-78</v>
      </c>
      <c r="BD43" s="10">
        <f t="shared" si="0"/>
        <v>8426.7999999999993</v>
      </c>
      <c r="BE43" s="10">
        <f t="shared" si="1"/>
        <v>9050.6999999999989</v>
      </c>
    </row>
    <row r="44" spans="1:57" x14ac:dyDescent="0.3">
      <c r="A44" s="19" t="s">
        <v>96</v>
      </c>
      <c r="B44" s="8">
        <v>3.7</v>
      </c>
      <c r="C44" s="8">
        <v>0</v>
      </c>
      <c r="D44" s="8">
        <v>0</v>
      </c>
      <c r="E44" s="8">
        <v>0.4</v>
      </c>
      <c r="F44" s="8">
        <v>0</v>
      </c>
      <c r="G44" s="9">
        <v>11.4</v>
      </c>
      <c r="H44" s="9">
        <v>1.4</v>
      </c>
      <c r="I44" s="9">
        <v>0.8</v>
      </c>
      <c r="J44" s="9">
        <v>2.2999999999999998</v>
      </c>
      <c r="K44" s="9">
        <v>1.7</v>
      </c>
      <c r="L44" s="9">
        <v>2.2999999999999998</v>
      </c>
      <c r="M44" s="9">
        <v>3.6</v>
      </c>
      <c r="N44" s="9">
        <v>3.8</v>
      </c>
      <c r="O44" s="9">
        <v>1.9</v>
      </c>
      <c r="P44" s="9">
        <v>1.7</v>
      </c>
      <c r="Q44" s="9">
        <v>4.0999999999999996</v>
      </c>
      <c r="R44" s="9">
        <v>11.6</v>
      </c>
      <c r="S44" s="9">
        <v>3.2</v>
      </c>
      <c r="T44" s="9">
        <v>3</v>
      </c>
      <c r="U44" s="9">
        <v>6.9</v>
      </c>
      <c r="V44" s="9">
        <v>0.4</v>
      </c>
      <c r="W44" s="9">
        <v>2</v>
      </c>
      <c r="X44" s="9">
        <v>3.9</v>
      </c>
      <c r="Y44" s="9">
        <v>2.4</v>
      </c>
      <c r="Z44" s="9">
        <v>13.9</v>
      </c>
      <c r="AA44" s="1">
        <v>45.5</v>
      </c>
      <c r="AB44" s="1">
        <v>9.6</v>
      </c>
      <c r="AC44" s="1">
        <v>0.1</v>
      </c>
      <c r="AD44" s="1">
        <v>0.6</v>
      </c>
      <c r="AE44" s="1">
        <v>17.899999999999999</v>
      </c>
      <c r="AF44" s="1">
        <v>0.8</v>
      </c>
      <c r="AG44" s="1">
        <v>10</v>
      </c>
      <c r="AH44" s="1">
        <v>36.1</v>
      </c>
      <c r="AI44" s="1">
        <v>5.5</v>
      </c>
      <c r="AJ44" s="1">
        <v>4.9000000000000004</v>
      </c>
      <c r="AK44" s="1">
        <v>8.1</v>
      </c>
      <c r="AL44" s="1">
        <v>13.9</v>
      </c>
      <c r="AM44" s="1">
        <v>18.100000000000001</v>
      </c>
      <c r="AN44" s="1">
        <v>40</v>
      </c>
      <c r="AO44" s="1">
        <v>4.8</v>
      </c>
      <c r="AP44" s="1">
        <v>1</v>
      </c>
      <c r="AQ44" s="1">
        <v>5.7</v>
      </c>
      <c r="AR44" s="1">
        <v>174.5</v>
      </c>
      <c r="AS44" s="1">
        <v>13.2</v>
      </c>
      <c r="AT44" s="1">
        <v>0</v>
      </c>
      <c r="AU44">
        <v>1558.7</v>
      </c>
      <c r="AV44">
        <v>225.2</v>
      </c>
      <c r="AW44">
        <v>925.2</v>
      </c>
      <c r="AX44">
        <v>8.9</v>
      </c>
      <c r="AY44">
        <v>0.4</v>
      </c>
      <c r="AZ44">
        <v>91.8</v>
      </c>
      <c r="BA44">
        <v>240.5</v>
      </c>
      <c r="BB44">
        <v>18.100000000000001</v>
      </c>
      <c r="BC44">
        <v>-257.3</v>
      </c>
      <c r="BD44" s="10">
        <f t="shared" si="0"/>
        <v>2811.5000000000005</v>
      </c>
      <c r="BE44" s="10">
        <f t="shared" si="1"/>
        <v>3308.2000000000003</v>
      </c>
    </row>
    <row r="45" spans="1:57" x14ac:dyDescent="0.3">
      <c r="A45" s="19" t="s">
        <v>97</v>
      </c>
      <c r="B45" s="8">
        <v>25.6</v>
      </c>
      <c r="C45" s="8">
        <v>0.2</v>
      </c>
      <c r="D45" s="8">
        <v>0.2</v>
      </c>
      <c r="E45" s="8">
        <v>0.5</v>
      </c>
      <c r="F45" s="8">
        <v>0.2</v>
      </c>
      <c r="G45" s="9">
        <v>29.9</v>
      </c>
      <c r="H45" s="9">
        <v>3</v>
      </c>
      <c r="I45" s="9">
        <v>1.9</v>
      </c>
      <c r="J45" s="9">
        <v>5.0999999999999996</v>
      </c>
      <c r="K45" s="9">
        <v>5.9</v>
      </c>
      <c r="L45" s="9">
        <v>6.5</v>
      </c>
      <c r="M45" s="9">
        <v>6.6</v>
      </c>
      <c r="N45" s="9">
        <v>6</v>
      </c>
      <c r="O45" s="9">
        <v>5.4</v>
      </c>
      <c r="P45" s="9">
        <v>3.6</v>
      </c>
      <c r="Q45" s="9">
        <v>6.5</v>
      </c>
      <c r="R45" s="9">
        <v>30.8</v>
      </c>
      <c r="S45" s="9">
        <v>8.6999999999999993</v>
      </c>
      <c r="T45" s="9">
        <v>6.7</v>
      </c>
      <c r="U45" s="9">
        <v>14</v>
      </c>
      <c r="V45" s="9">
        <v>1</v>
      </c>
      <c r="W45" s="9">
        <v>6.4</v>
      </c>
      <c r="X45" s="9">
        <v>30.7</v>
      </c>
      <c r="Y45" s="9">
        <v>15.3</v>
      </c>
      <c r="Z45" s="9">
        <v>37.1</v>
      </c>
      <c r="AA45" s="1">
        <v>158</v>
      </c>
      <c r="AB45" s="1">
        <v>18.899999999999999</v>
      </c>
      <c r="AC45" s="1">
        <v>0.7</v>
      </c>
      <c r="AD45" s="1">
        <v>4</v>
      </c>
      <c r="AE45" s="1">
        <v>32</v>
      </c>
      <c r="AF45" s="1">
        <v>3.8</v>
      </c>
      <c r="AG45" s="1">
        <v>28.6</v>
      </c>
      <c r="AH45" s="1">
        <v>13.4</v>
      </c>
      <c r="AI45" s="1">
        <v>27.8</v>
      </c>
      <c r="AJ45" s="1">
        <v>34.4</v>
      </c>
      <c r="AK45" s="1">
        <v>51.4</v>
      </c>
      <c r="AL45" s="1">
        <v>99.6</v>
      </c>
      <c r="AM45" s="1">
        <v>74.2</v>
      </c>
      <c r="AN45" s="1">
        <v>45.9</v>
      </c>
      <c r="AO45" s="1">
        <v>43.9</v>
      </c>
      <c r="AP45" s="1">
        <v>21.6</v>
      </c>
      <c r="AQ45" s="1">
        <v>25.3</v>
      </c>
      <c r="AR45" s="1">
        <v>21.8</v>
      </c>
      <c r="AS45" s="1">
        <v>15.8</v>
      </c>
      <c r="AT45" s="1">
        <v>0</v>
      </c>
      <c r="AU45">
        <v>1907.1</v>
      </c>
      <c r="AV45">
        <v>1018.2</v>
      </c>
      <c r="AW45">
        <v>57.9</v>
      </c>
      <c r="AX45">
        <v>12.2</v>
      </c>
      <c r="AY45">
        <v>0.8</v>
      </c>
      <c r="AZ45">
        <v>45</v>
      </c>
      <c r="BA45">
        <v>96.3</v>
      </c>
      <c r="BB45">
        <v>29.7</v>
      </c>
      <c r="BC45">
        <v>-97.3</v>
      </c>
      <c r="BD45" s="10">
        <f t="shared" si="0"/>
        <v>3069.9</v>
      </c>
      <c r="BE45" s="10">
        <f t="shared" si="1"/>
        <v>4048.7999999999993</v>
      </c>
    </row>
    <row r="46" spans="1:57" x14ac:dyDescent="0.3">
      <c r="A46" s="19" t="s">
        <v>98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>
        <v>18.100000000000001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s="10">
        <f t="shared" si="0"/>
        <v>18.100000000000001</v>
      </c>
      <c r="BE46" s="10">
        <f t="shared" si="1"/>
        <v>18.100000000000001</v>
      </c>
    </row>
    <row r="47" spans="1:57" x14ac:dyDescent="0.3">
      <c r="A47" t="s">
        <v>99</v>
      </c>
      <c r="B47">
        <v>99.7</v>
      </c>
      <c r="C47">
        <v>0.4</v>
      </c>
      <c r="D47">
        <v>4.8</v>
      </c>
      <c r="E47">
        <v>9.4</v>
      </c>
      <c r="F47">
        <v>1.1000000000000001</v>
      </c>
      <c r="G47">
        <v>98.2</v>
      </c>
      <c r="H47">
        <v>98.5</v>
      </c>
      <c r="I47">
        <v>8.6999999999999993</v>
      </c>
      <c r="J47">
        <v>25.1</v>
      </c>
      <c r="K47">
        <v>1513</v>
      </c>
      <c r="L47">
        <v>180.1</v>
      </c>
      <c r="M47">
        <v>25.6</v>
      </c>
      <c r="N47">
        <v>57.8</v>
      </c>
      <c r="O47">
        <v>60.5</v>
      </c>
      <c r="P47">
        <v>142.1</v>
      </c>
      <c r="Q47">
        <v>25</v>
      </c>
      <c r="R47">
        <v>294.8</v>
      </c>
      <c r="S47">
        <v>59.1</v>
      </c>
      <c r="T47">
        <v>29.6</v>
      </c>
      <c r="U47">
        <v>240.3</v>
      </c>
      <c r="V47">
        <v>11.5</v>
      </c>
      <c r="W47">
        <v>37.1</v>
      </c>
      <c r="X47">
        <v>718.7</v>
      </c>
      <c r="Y47">
        <v>16.8</v>
      </c>
      <c r="Z47">
        <v>105.8</v>
      </c>
      <c r="AA47">
        <v>128.9</v>
      </c>
      <c r="AB47">
        <v>125.5</v>
      </c>
      <c r="AC47">
        <v>3.7</v>
      </c>
      <c r="AD47">
        <v>19.2</v>
      </c>
      <c r="AE47">
        <v>45.5</v>
      </c>
      <c r="AF47">
        <v>3.1</v>
      </c>
      <c r="AG47">
        <v>52.3</v>
      </c>
      <c r="AH47">
        <v>6</v>
      </c>
      <c r="AI47">
        <v>7.7</v>
      </c>
      <c r="AJ47">
        <v>4</v>
      </c>
      <c r="AK47">
        <v>9.8000000000000007</v>
      </c>
      <c r="AL47">
        <v>33.5</v>
      </c>
      <c r="AM47">
        <v>40.5</v>
      </c>
      <c r="AN47">
        <v>24.7</v>
      </c>
      <c r="AO47">
        <v>41.8</v>
      </c>
      <c r="AP47">
        <v>36.5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179.2</v>
      </c>
      <c r="BA47">
        <v>0</v>
      </c>
      <c r="BB47">
        <v>0</v>
      </c>
      <c r="BC47">
        <v>-4625.7</v>
      </c>
    </row>
    <row r="48" spans="1:57" x14ac:dyDescent="0.3">
      <c r="A48" t="s">
        <v>100</v>
      </c>
      <c r="B48">
        <v>220.8</v>
      </c>
      <c r="C48">
        <v>1.7</v>
      </c>
      <c r="D48">
        <v>2.2999999999999998</v>
      </c>
      <c r="E48">
        <v>6.1</v>
      </c>
      <c r="F48">
        <v>2.1</v>
      </c>
      <c r="G48">
        <v>189.5</v>
      </c>
      <c r="H48">
        <v>21.1</v>
      </c>
      <c r="I48">
        <v>21.3</v>
      </c>
      <c r="J48">
        <v>45.3</v>
      </c>
      <c r="K48">
        <v>48.6</v>
      </c>
      <c r="L48">
        <v>250.4</v>
      </c>
      <c r="M48">
        <v>42.9</v>
      </c>
      <c r="N48">
        <v>61.4</v>
      </c>
      <c r="O48">
        <v>71.400000000000006</v>
      </c>
      <c r="P48">
        <v>50.3</v>
      </c>
      <c r="Q48">
        <v>47.5</v>
      </c>
      <c r="R48">
        <v>159.80000000000001</v>
      </c>
      <c r="S48">
        <v>75</v>
      </c>
      <c r="T48">
        <v>40.6</v>
      </c>
      <c r="U48">
        <v>190.7</v>
      </c>
      <c r="V48">
        <v>12.6</v>
      </c>
      <c r="W48">
        <v>42.5</v>
      </c>
      <c r="X48">
        <v>125</v>
      </c>
      <c r="Y48">
        <v>64.8</v>
      </c>
      <c r="Z48">
        <v>254.1</v>
      </c>
      <c r="AA48">
        <v>582.1</v>
      </c>
      <c r="AB48">
        <v>358.8</v>
      </c>
      <c r="AC48">
        <v>12</v>
      </c>
      <c r="AD48">
        <v>72.400000000000006</v>
      </c>
      <c r="AE48">
        <v>100.1</v>
      </c>
      <c r="AF48">
        <v>11.9</v>
      </c>
      <c r="AG48">
        <v>105</v>
      </c>
      <c r="AH48">
        <v>46.3</v>
      </c>
      <c r="AI48">
        <v>68</v>
      </c>
      <c r="AJ48">
        <v>44.1</v>
      </c>
      <c r="AK48">
        <v>135.19999999999999</v>
      </c>
      <c r="AL48">
        <v>165.6</v>
      </c>
      <c r="AM48">
        <v>177.8</v>
      </c>
      <c r="AN48">
        <v>98.7</v>
      </c>
      <c r="AO48">
        <v>152.30000000000001</v>
      </c>
      <c r="AP48">
        <v>62.5</v>
      </c>
      <c r="AQ48">
        <v>103.4</v>
      </c>
      <c r="AR48">
        <v>62.6</v>
      </c>
      <c r="AS48">
        <v>47.7</v>
      </c>
      <c r="AT48">
        <v>0</v>
      </c>
      <c r="AU48">
        <v>11051.5</v>
      </c>
      <c r="AV48">
        <v>21</v>
      </c>
      <c r="AW48">
        <v>365.3</v>
      </c>
      <c r="AX48">
        <v>2109.6999999999998</v>
      </c>
      <c r="AY48">
        <v>271.89999999999998</v>
      </c>
      <c r="AZ48">
        <v>0</v>
      </c>
      <c r="BA48">
        <v>420.1</v>
      </c>
      <c r="BB48">
        <v>3876.4</v>
      </c>
      <c r="BC48">
        <v>0</v>
      </c>
    </row>
    <row r="49" spans="1:57" x14ac:dyDescent="0.3">
      <c r="A49" t="s">
        <v>101</v>
      </c>
      <c r="B49">
        <v>8238</v>
      </c>
      <c r="C49">
        <v>38.6</v>
      </c>
      <c r="D49">
        <v>181.5</v>
      </c>
      <c r="E49">
        <v>221.7</v>
      </c>
      <c r="F49">
        <v>102.5</v>
      </c>
      <c r="G49">
        <v>11710.7</v>
      </c>
      <c r="H49">
        <v>1480.8</v>
      </c>
      <c r="I49">
        <v>1065.8</v>
      </c>
      <c r="J49">
        <v>2089</v>
      </c>
      <c r="K49">
        <v>7415.1</v>
      </c>
      <c r="L49">
        <v>4378</v>
      </c>
      <c r="M49">
        <v>1800.4</v>
      </c>
      <c r="N49">
        <v>3915.2</v>
      </c>
      <c r="O49">
        <v>2770.8</v>
      </c>
      <c r="P49">
        <v>3710.6</v>
      </c>
      <c r="Q49">
        <v>3972.8</v>
      </c>
      <c r="R49">
        <v>20292.900000000001</v>
      </c>
      <c r="S49">
        <v>5597.4</v>
      </c>
      <c r="T49">
        <v>3605.6</v>
      </c>
      <c r="U49">
        <v>19059.8</v>
      </c>
      <c r="V49">
        <v>540.29999999999995</v>
      </c>
      <c r="W49">
        <v>2221.6999999999998</v>
      </c>
      <c r="X49">
        <v>6270.6</v>
      </c>
      <c r="Y49">
        <v>1538.7</v>
      </c>
      <c r="Z49">
        <v>10725.6</v>
      </c>
      <c r="AA49">
        <v>17681.599999999999</v>
      </c>
      <c r="AB49">
        <v>5946.3</v>
      </c>
      <c r="AC49">
        <v>225.4</v>
      </c>
      <c r="AD49">
        <v>1182</v>
      </c>
      <c r="AE49">
        <v>2309.4</v>
      </c>
      <c r="AF49">
        <v>345.1</v>
      </c>
      <c r="AG49">
        <v>3839.8</v>
      </c>
      <c r="AH49">
        <v>1799.4</v>
      </c>
      <c r="AI49">
        <v>1987.2</v>
      </c>
      <c r="AJ49">
        <v>1484.5</v>
      </c>
      <c r="AK49">
        <v>5400.1</v>
      </c>
      <c r="AL49">
        <v>5768.8</v>
      </c>
      <c r="AM49">
        <v>5332.6</v>
      </c>
      <c r="AN49">
        <v>3270.9</v>
      </c>
      <c r="AO49">
        <v>4235.2</v>
      </c>
      <c r="AP49">
        <v>1808.7</v>
      </c>
      <c r="AQ49">
        <v>3412.4</v>
      </c>
      <c r="AR49">
        <v>1625.9</v>
      </c>
      <c r="AS49">
        <v>1578.8</v>
      </c>
      <c r="AT49">
        <v>0</v>
      </c>
      <c r="AU49">
        <v>79406.3</v>
      </c>
      <c r="AV49">
        <v>2271.1999999999998</v>
      </c>
      <c r="AW49">
        <v>33834.300000000003</v>
      </c>
      <c r="AX49">
        <v>36737.9</v>
      </c>
      <c r="AY49">
        <v>3928.2</v>
      </c>
      <c r="AZ49">
        <v>2339.6</v>
      </c>
      <c r="BA49">
        <v>5146.3999999999996</v>
      </c>
      <c r="BB49">
        <v>105935.3</v>
      </c>
      <c r="BC49">
        <v>-110695.5</v>
      </c>
    </row>
    <row r="50" spans="1:57" x14ac:dyDescent="0.3">
      <c r="A50" t="s">
        <v>102</v>
      </c>
      <c r="B50">
        <v>5480.9</v>
      </c>
      <c r="C50">
        <v>22.2</v>
      </c>
      <c r="D50">
        <v>72.900000000000006</v>
      </c>
      <c r="E50">
        <v>174.5</v>
      </c>
      <c r="F50">
        <v>83.1</v>
      </c>
      <c r="G50">
        <v>2865.9</v>
      </c>
      <c r="H50">
        <v>749.4</v>
      </c>
      <c r="I50">
        <v>442.7</v>
      </c>
      <c r="J50">
        <v>880.9</v>
      </c>
      <c r="K50">
        <v>2203</v>
      </c>
      <c r="L50">
        <v>1083.3</v>
      </c>
      <c r="M50">
        <v>1722.1</v>
      </c>
      <c r="N50">
        <v>1326</v>
      </c>
      <c r="O50">
        <v>1403.8</v>
      </c>
      <c r="P50">
        <v>1055.0999999999999</v>
      </c>
      <c r="Q50">
        <v>2124.4</v>
      </c>
      <c r="R50">
        <v>2424.1</v>
      </c>
      <c r="S50">
        <v>2617</v>
      </c>
      <c r="T50">
        <v>1687.2</v>
      </c>
      <c r="U50">
        <v>4942.2</v>
      </c>
      <c r="V50">
        <v>285.5</v>
      </c>
      <c r="W50">
        <v>1295.8</v>
      </c>
      <c r="X50">
        <v>3309.2</v>
      </c>
      <c r="Y50">
        <v>1502.8</v>
      </c>
      <c r="Z50">
        <v>6671.9</v>
      </c>
      <c r="AA50">
        <v>15031.6</v>
      </c>
      <c r="AB50">
        <v>4061.4</v>
      </c>
      <c r="AC50">
        <v>32</v>
      </c>
      <c r="AD50">
        <v>107.5</v>
      </c>
      <c r="AE50">
        <v>2621.1</v>
      </c>
      <c r="AF50">
        <v>866.8</v>
      </c>
      <c r="AG50">
        <v>2610.9</v>
      </c>
      <c r="AH50">
        <v>1726.2</v>
      </c>
      <c r="AI50">
        <v>3339.2</v>
      </c>
      <c r="AJ50">
        <v>2229.6999999999998</v>
      </c>
      <c r="AK50">
        <v>6000.2</v>
      </c>
      <c r="AL50">
        <v>11256.6</v>
      </c>
      <c r="AM50">
        <v>7347.5</v>
      </c>
      <c r="AN50">
        <v>4395.8</v>
      </c>
      <c r="AO50">
        <v>11829</v>
      </c>
      <c r="AP50">
        <v>6643.1</v>
      </c>
      <c r="AQ50">
        <v>5562.9</v>
      </c>
      <c r="AR50">
        <v>1657.2</v>
      </c>
      <c r="AS50">
        <v>2454.6</v>
      </c>
      <c r="AT50">
        <v>18.100000000000001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7" x14ac:dyDescent="0.3">
      <c r="A51" t="s">
        <v>103</v>
      </c>
      <c r="B51">
        <v>13718.9</v>
      </c>
      <c r="C51">
        <v>60.8</v>
      </c>
      <c r="D51">
        <v>254.3</v>
      </c>
      <c r="E51">
        <v>396.2</v>
      </c>
      <c r="F51">
        <v>185.5</v>
      </c>
      <c r="G51">
        <v>14576.6</v>
      </c>
      <c r="H51">
        <v>2230.1999999999998</v>
      </c>
      <c r="I51">
        <v>1508.5</v>
      </c>
      <c r="J51">
        <v>2969.9</v>
      </c>
      <c r="K51">
        <v>9618.1</v>
      </c>
      <c r="L51">
        <v>5461.4</v>
      </c>
      <c r="M51">
        <v>3522.5</v>
      </c>
      <c r="N51">
        <v>5241.3</v>
      </c>
      <c r="O51">
        <v>4174.6000000000004</v>
      </c>
      <c r="P51">
        <v>4765.6000000000004</v>
      </c>
      <c r="Q51">
        <v>6097.2</v>
      </c>
      <c r="R51">
        <v>22717</v>
      </c>
      <c r="S51">
        <v>8214.4</v>
      </c>
      <c r="T51">
        <v>5292.8</v>
      </c>
      <c r="U51">
        <v>24001.9</v>
      </c>
      <c r="V51">
        <v>825.8</v>
      </c>
      <c r="W51">
        <v>3517.5</v>
      </c>
      <c r="X51">
        <v>9579.9</v>
      </c>
      <c r="Y51">
        <v>3041.5</v>
      </c>
      <c r="Z51">
        <v>17397.5</v>
      </c>
      <c r="AA51">
        <v>32713.200000000001</v>
      </c>
      <c r="AB51">
        <v>10007.700000000001</v>
      </c>
      <c r="AC51">
        <v>257.5</v>
      </c>
      <c r="AD51">
        <v>1289.4000000000001</v>
      </c>
      <c r="AE51">
        <v>4930.3999999999996</v>
      </c>
      <c r="AF51">
        <v>1211.8</v>
      </c>
      <c r="AG51">
        <v>6450.7</v>
      </c>
      <c r="AH51">
        <v>3525.6</v>
      </c>
      <c r="AI51">
        <v>5326.4</v>
      </c>
      <c r="AJ51">
        <v>3714.2</v>
      </c>
      <c r="AK51">
        <v>11400.4</v>
      </c>
      <c r="AL51">
        <v>17025.400000000001</v>
      </c>
      <c r="AM51">
        <v>12680.1</v>
      </c>
      <c r="AN51">
        <v>7666.6</v>
      </c>
      <c r="AO51">
        <v>16064.2</v>
      </c>
      <c r="AP51">
        <v>8451.7999999999993</v>
      </c>
      <c r="AQ51">
        <v>9051</v>
      </c>
      <c r="AR51">
        <v>3308.5</v>
      </c>
      <c r="AS51">
        <v>4048.8</v>
      </c>
      <c r="AT51">
        <v>18.100000000000001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3" spans="1:57" ht="15" thickBot="1" x14ac:dyDescent="0.35">
      <c r="BD53" s="13" t="s">
        <v>225</v>
      </c>
      <c r="BE53" s="13">
        <f>SUM(BE2:BE46)</f>
        <v>328510.3</v>
      </c>
    </row>
    <row r="54" spans="1:57" ht="15" customHeight="1" x14ac:dyDescent="0.3">
      <c r="B54" s="49" t="s">
        <v>110</v>
      </c>
      <c r="C54" s="50"/>
      <c r="D54" s="50"/>
      <c r="E54" s="51"/>
      <c r="K54" s="48" t="s">
        <v>113</v>
      </c>
      <c r="L54" s="48"/>
      <c r="M54" s="48"/>
      <c r="N54" s="48"/>
      <c r="O54" s="48"/>
      <c r="P54" s="48"/>
      <c r="Q54" s="48"/>
      <c r="R54" s="48"/>
    </row>
    <row r="55" spans="1:57" ht="14.4" customHeight="1" thickBot="1" x14ac:dyDescent="0.35">
      <c r="B55" s="52"/>
      <c r="C55" s="53"/>
      <c r="D55" s="53"/>
      <c r="E55" s="54"/>
      <c r="K55" s="48"/>
      <c r="L55" s="48"/>
      <c r="M55" s="48"/>
      <c r="N55" s="48"/>
      <c r="O55" s="48"/>
      <c r="P55" s="48"/>
      <c r="Q55" s="48"/>
      <c r="R55" s="48"/>
    </row>
    <row r="58" spans="1:57" x14ac:dyDescent="0.3">
      <c r="B58" s="18" t="s">
        <v>106</v>
      </c>
      <c r="C58" s="18" t="s">
        <v>107</v>
      </c>
      <c r="D58" s="18" t="s">
        <v>108</v>
      </c>
      <c r="E58" s="18" t="s">
        <v>109</v>
      </c>
      <c r="F58" s="14" t="s">
        <v>185</v>
      </c>
      <c r="K58" s="19" t="s">
        <v>224</v>
      </c>
      <c r="L58" s="19" t="s">
        <v>45</v>
      </c>
      <c r="M58" s="19" t="s">
        <v>46</v>
      </c>
      <c r="N58" s="19" t="s">
        <v>47</v>
      </c>
      <c r="O58" s="19" t="s">
        <v>48</v>
      </c>
      <c r="P58" s="19" t="s">
        <v>49</v>
      </c>
      <c r="Q58" s="19" t="s">
        <v>50</v>
      </c>
      <c r="R58" s="19" t="s">
        <v>51</v>
      </c>
      <c r="S58" s="19" t="s">
        <v>52</v>
      </c>
      <c r="T58" s="19" t="s">
        <v>53</v>
      </c>
      <c r="U58" s="19" t="s">
        <v>223</v>
      </c>
    </row>
    <row r="59" spans="1:57" x14ac:dyDescent="0.3">
      <c r="B59" s="18" t="s">
        <v>107</v>
      </c>
      <c r="C59" s="2">
        <f>SUM(B2:F6)</f>
        <v>3020.6999999999994</v>
      </c>
      <c r="D59" s="3">
        <f>SUM(G2:Z6)</f>
        <v>8931.0000000000036</v>
      </c>
      <c r="E59" s="4">
        <f>SUM(AA2:AT6)</f>
        <v>1370.3</v>
      </c>
      <c r="F59" s="10">
        <f>SUM(C59:E59)</f>
        <v>13322.000000000002</v>
      </c>
      <c r="K59" s="19" t="s">
        <v>111</v>
      </c>
      <c r="L59" s="11">
        <f t="shared" ref="L59:T59" si="2">SUM(AU2:AU46)</f>
        <v>68354.800000000017</v>
      </c>
      <c r="M59" s="11">
        <f t="shared" si="2"/>
        <v>2250.1000000000004</v>
      </c>
      <c r="N59" s="11">
        <f t="shared" si="2"/>
        <v>33468.799999999996</v>
      </c>
      <c r="O59" s="11">
        <f t="shared" si="2"/>
        <v>34628.099999999991</v>
      </c>
      <c r="P59" s="11">
        <f t="shared" si="2"/>
        <v>3656.3</v>
      </c>
      <c r="Q59" s="11">
        <f t="shared" si="2"/>
        <v>2160.4999999999995</v>
      </c>
      <c r="R59" s="11">
        <f t="shared" si="2"/>
        <v>4726.7000000000007</v>
      </c>
      <c r="S59" s="11">
        <f t="shared" si="2"/>
        <v>102058.79999999999</v>
      </c>
      <c r="T59" s="11">
        <f t="shared" si="2"/>
        <v>-106069.40000000001</v>
      </c>
      <c r="U59" s="11">
        <f>SUM(BE2:BE46)</f>
        <v>328510.3</v>
      </c>
    </row>
    <row r="60" spans="1:57" x14ac:dyDescent="0.3">
      <c r="B60" s="18" t="s">
        <v>108</v>
      </c>
      <c r="C60" s="5">
        <f>SUM(B7:F26)</f>
        <v>3162.4999999999977</v>
      </c>
      <c r="D60" s="6">
        <f>SUM(G7:Z26)</f>
        <v>68087.899999999892</v>
      </c>
      <c r="E60" s="7">
        <f>SUM(AA7:AT26)</f>
        <v>19205.499999999996</v>
      </c>
      <c r="F60" s="10">
        <f>SUM(C60:E60)</f>
        <v>90455.899999999892</v>
      </c>
      <c r="K60" s="19" t="s">
        <v>222</v>
      </c>
      <c r="L60" s="12">
        <f t="shared" ref="L60:U60" si="3">(L59/$U$59)</f>
        <v>0.20807505883377178</v>
      </c>
      <c r="M60" s="12">
        <f t="shared" si="3"/>
        <v>6.8494047218610812E-3</v>
      </c>
      <c r="N60" s="12">
        <f t="shared" si="3"/>
        <v>0.10188051942359189</v>
      </c>
      <c r="O60" s="12">
        <f t="shared" si="3"/>
        <v>0.10540948031157621</v>
      </c>
      <c r="P60" s="12">
        <f t="shared" si="3"/>
        <v>1.1129940218008385E-2</v>
      </c>
      <c r="Q60" s="12">
        <f t="shared" si="3"/>
        <v>6.5766583269991829E-3</v>
      </c>
      <c r="R60" s="12">
        <f t="shared" si="3"/>
        <v>1.4388285542340683E-2</v>
      </c>
      <c r="S60" s="12">
        <f t="shared" si="3"/>
        <v>0.31067153754387605</v>
      </c>
      <c r="T60" s="12">
        <f t="shared" si="3"/>
        <v>-0.32287998275853153</v>
      </c>
      <c r="U60" s="12">
        <f t="shared" si="3"/>
        <v>1</v>
      </c>
    </row>
    <row r="61" spans="1:57" x14ac:dyDescent="0.3">
      <c r="B61" s="18" t="s">
        <v>109</v>
      </c>
      <c r="C61" s="8">
        <f>SUM(B27:F46)</f>
        <v>2250.4999999999991</v>
      </c>
      <c r="D61" s="9">
        <f>SUM(G27:Z46)</f>
        <v>31579.700000000048</v>
      </c>
      <c r="E61" s="1">
        <f>SUM(AA27:AT46)</f>
        <v>45667.500000000022</v>
      </c>
      <c r="F61" s="10">
        <f>SUM(C61:E61)</f>
        <v>79497.70000000007</v>
      </c>
    </row>
    <row r="62" spans="1:57" x14ac:dyDescent="0.3">
      <c r="B62" s="14" t="s">
        <v>186</v>
      </c>
      <c r="C62" s="10">
        <f>SUM(C59:C61)</f>
        <v>8433.6999999999971</v>
      </c>
      <c r="D62" s="10">
        <f>SUM(D59:D61)</f>
        <v>108598.59999999995</v>
      </c>
      <c r="E62" s="10">
        <f>SUM(E59:E61)</f>
        <v>66243.300000000017</v>
      </c>
      <c r="F62" s="10">
        <f>SUM(C62:E62)</f>
        <v>183275.59999999998</v>
      </c>
    </row>
    <row r="63" spans="1:57" x14ac:dyDescent="0.3">
      <c r="K63" s="19" t="s">
        <v>114</v>
      </c>
      <c r="L63" s="10">
        <f>SUM(L59:N59)</f>
        <v>104073.70000000001</v>
      </c>
      <c r="M63" s="39">
        <f>L63/$L$67</f>
        <v>0.31680498297922477</v>
      </c>
    </row>
    <row r="64" spans="1:57" x14ac:dyDescent="0.3">
      <c r="K64" s="19" t="s">
        <v>115</v>
      </c>
      <c r="L64" s="10">
        <f>SUM(O59:Q59)</f>
        <v>40444.899999999994</v>
      </c>
      <c r="M64" s="39">
        <f>L64/$L$67</f>
        <v>0.12311607885658378</v>
      </c>
    </row>
    <row r="65" spans="11:13" x14ac:dyDescent="0.3">
      <c r="K65" s="19" t="s">
        <v>116</v>
      </c>
      <c r="L65" s="10">
        <f>SUM(R59:T59)</f>
        <v>716.09999999997672</v>
      </c>
      <c r="M65" s="39">
        <f>L65/$L$67</f>
        <v>2.1798403276852407E-3</v>
      </c>
    </row>
    <row r="66" spans="11:13" x14ac:dyDescent="0.3">
      <c r="K66" s="19" t="s">
        <v>117</v>
      </c>
      <c r="L66" s="10">
        <f>SUM(B2:AT46)</f>
        <v>183275.59999999992</v>
      </c>
      <c r="M66" s="39">
        <f>L66/$L$67</f>
        <v>0.55789909783650593</v>
      </c>
    </row>
    <row r="67" spans="11:13" x14ac:dyDescent="0.3">
      <c r="K67" s="40" t="s">
        <v>103</v>
      </c>
      <c r="L67" s="10">
        <v>328510.3</v>
      </c>
      <c r="M67" s="39">
        <f>L67/$L$67</f>
        <v>1</v>
      </c>
    </row>
  </sheetData>
  <mergeCells count="2">
    <mergeCell ref="K54:R55"/>
    <mergeCell ref="B54:E55"/>
  </mergeCells>
  <conditionalFormatting sqref="C59:E61">
    <cfRule type="colorScale" priority="1">
      <colorScale>
        <cfvo type="min"/>
        <cfvo type="max"/>
        <color theme="0"/>
        <color theme="7" tint="-0.249977111117893"/>
      </colorScale>
    </cfRule>
  </conditionalFormatting>
  <conditionalFormatting sqref="BE2:BE46">
    <cfRule type="top10" dxfId="4" priority="2" bottom="1" rank="5"/>
    <cfRule type="top10" dxfId="3" priority="3" rank="5"/>
  </conditionalFormatting>
  <pageMargins left="0.7" right="0.7" top="0.75" bottom="0.75" header="0.3" footer="0.3"/>
  <ignoredErrors>
    <ignoredError sqref="BD2:BD46 L59:U59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A141-9530-48EE-B683-6A2663548EC1}">
  <dimension ref="A2:BC206"/>
  <sheetViews>
    <sheetView zoomScale="98" zoomScaleNormal="98" workbookViewId="0">
      <pane xSplit="1" topLeftCell="J1" activePane="topRight" state="frozen"/>
      <selection activeCell="A151" sqref="A151"/>
      <selection pane="topRight" activeCell="G201" sqref="G201"/>
    </sheetView>
  </sheetViews>
  <sheetFormatPr defaultRowHeight="14.4" x14ac:dyDescent="0.3"/>
  <cols>
    <col min="1" max="1" width="25.88671875" customWidth="1"/>
    <col min="22" max="22" width="12" bestFit="1" customWidth="1"/>
    <col min="29" max="29" width="12" bestFit="1" customWidth="1"/>
  </cols>
  <sheetData>
    <row r="2" spans="1:55" ht="14.4" customHeight="1" x14ac:dyDescent="0.5">
      <c r="A2" s="47"/>
      <c r="B2" s="57" t="s">
        <v>233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46"/>
      <c r="AY2" s="46"/>
      <c r="AZ2" s="46"/>
      <c r="BA2" s="46"/>
      <c r="BB2" s="46"/>
      <c r="BC2" s="46"/>
    </row>
    <row r="3" spans="1:55" ht="14.4" customHeight="1" x14ac:dyDescent="0.5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46"/>
      <c r="AY3" s="46"/>
      <c r="AZ3" s="46"/>
      <c r="BA3" s="46"/>
      <c r="BB3" s="46"/>
      <c r="BC3" s="46"/>
    </row>
    <row r="5" spans="1:55" x14ac:dyDescent="0.3">
      <c r="A5" s="19"/>
      <c r="B5" s="19" t="s">
        <v>0</v>
      </c>
      <c r="C5" s="19" t="s">
        <v>1</v>
      </c>
      <c r="D5" s="19" t="s">
        <v>2</v>
      </c>
      <c r="E5" s="19" t="s">
        <v>3</v>
      </c>
      <c r="F5" s="19" t="s">
        <v>4</v>
      </c>
      <c r="G5" s="19" t="s">
        <v>5</v>
      </c>
      <c r="H5" s="19" t="s">
        <v>6</v>
      </c>
      <c r="I5" s="19" t="s">
        <v>7</v>
      </c>
      <c r="J5" s="19" t="s">
        <v>8</v>
      </c>
      <c r="K5" s="19" t="s">
        <v>9</v>
      </c>
      <c r="L5" s="19" t="s">
        <v>10</v>
      </c>
      <c r="M5" s="19" t="s">
        <v>11</v>
      </c>
      <c r="N5" s="19" t="s">
        <v>12</v>
      </c>
      <c r="O5" s="19" t="s">
        <v>13</v>
      </c>
      <c r="P5" s="19" t="s">
        <v>14</v>
      </c>
      <c r="Q5" s="19" t="s">
        <v>15</v>
      </c>
      <c r="R5" s="19" t="s">
        <v>16</v>
      </c>
      <c r="S5" s="19" t="s">
        <v>17</v>
      </c>
      <c r="T5" s="19" t="s">
        <v>18</v>
      </c>
      <c r="U5" s="19" t="s">
        <v>19</v>
      </c>
      <c r="V5" s="19" t="s">
        <v>20</v>
      </c>
      <c r="W5" s="19" t="s">
        <v>21</v>
      </c>
      <c r="X5" s="19" t="s">
        <v>22</v>
      </c>
      <c r="Y5" s="19" t="s">
        <v>23</v>
      </c>
      <c r="Z5" s="19" t="s">
        <v>24</v>
      </c>
      <c r="AA5" s="19" t="s">
        <v>25</v>
      </c>
      <c r="AB5" s="19" t="s">
        <v>26</v>
      </c>
      <c r="AC5" s="19" t="s">
        <v>27</v>
      </c>
      <c r="AD5" s="19" t="s">
        <v>28</v>
      </c>
      <c r="AE5" s="19" t="s">
        <v>29</v>
      </c>
      <c r="AF5" s="19" t="s">
        <v>30</v>
      </c>
      <c r="AG5" s="19" t="s">
        <v>31</v>
      </c>
      <c r="AH5" s="19" t="s">
        <v>32</v>
      </c>
      <c r="AI5" s="19" t="s">
        <v>33</v>
      </c>
      <c r="AJ5" s="19" t="s">
        <v>34</v>
      </c>
      <c r="AK5" s="19" t="s">
        <v>35</v>
      </c>
      <c r="AL5" s="19" t="s">
        <v>36</v>
      </c>
      <c r="AM5" s="19" t="s">
        <v>37</v>
      </c>
      <c r="AN5" s="19" t="s">
        <v>38</v>
      </c>
      <c r="AO5" s="19" t="s">
        <v>39</v>
      </c>
      <c r="AP5" s="19" t="s">
        <v>40</v>
      </c>
      <c r="AQ5" s="19" t="s">
        <v>41</v>
      </c>
      <c r="AR5" s="19" t="s">
        <v>42</v>
      </c>
      <c r="AS5" s="19" t="s">
        <v>43</v>
      </c>
      <c r="AT5" s="19" t="s">
        <v>44</v>
      </c>
    </row>
    <row r="6" spans="1:55" x14ac:dyDescent="0.3">
      <c r="A6" s="19" t="s">
        <v>54</v>
      </c>
      <c r="B6" s="4">
        <f>HUNGARY2008ttl!B2/HUNGARY2008ttl!$BE$2</f>
        <v>0.20534015613724327</v>
      </c>
      <c r="C6" s="4">
        <f>HUNGARY2008ttl!C2/HUNGARY2008ttl!$BE$3</f>
        <v>8.4019769357495888E-2</v>
      </c>
      <c r="D6" s="4">
        <f>HUNGARY2008ttl!D2/HUNGARY2008ttl!$BE$4</f>
        <v>2.3566378633149837E-3</v>
      </c>
      <c r="E6" s="4">
        <f>HUNGARY2008ttl!E2/HUNGARY2008ttl!$BE$5</f>
        <v>1.5155342258145992E-3</v>
      </c>
      <c r="F6" s="4">
        <f>HUNGARY2008ttl!F2/HUNGARY2008ttl!$BE$6</f>
        <v>1.0787486515641857E-3</v>
      </c>
      <c r="G6" s="4">
        <f>HUNGARY2008ttl!G2/HUNGARY2008ttl!$BE$7</f>
        <v>0.28006338883286341</v>
      </c>
      <c r="H6" s="4">
        <f>HUNGARY2008ttl!H2/HUNGARY2008ttl!$BE$8</f>
        <v>6.8597560975609756E-3</v>
      </c>
      <c r="I6" s="4">
        <f>HUNGARY2008ttl!I2/HUNGARY2008ttl!$BE$9</f>
        <v>6.8677494199535963E-2</v>
      </c>
      <c r="J6" s="4">
        <f>HUNGARY2008ttl!J2/HUNGARY2008ttl!$BE$10</f>
        <v>3.6029362246615929E-3</v>
      </c>
      <c r="K6" s="4">
        <f>HUNGARY2008ttl!K2/HUNGARY2008ttl!$BE$11</f>
        <v>1.8610550830716764E-3</v>
      </c>
      <c r="L6" s="4">
        <f>HUNGARY2008ttl!L2/HUNGARY2008ttl!$BE$12</f>
        <v>3.405657786322438E-3</v>
      </c>
      <c r="M6" s="4">
        <f>HUNGARY2008ttl!M2/HUNGARY2008ttl!$BE$13</f>
        <v>5.5926188786373301E-3</v>
      </c>
      <c r="N6" s="4">
        <f>HUNGARY2008ttl!N2/HUNGARY2008ttl!$BE$14</f>
        <v>8.8909240074027413E-3</v>
      </c>
      <c r="O6" s="4">
        <f>HUNGARY2008ttl!O2/HUNGARY2008ttl!$BE$15</f>
        <v>2.5394087489818413E-3</v>
      </c>
      <c r="P6" s="4">
        <f>HUNGARY2008ttl!P2/HUNGARY2008ttl!$BE$16</f>
        <v>1.6996810475071336E-3</v>
      </c>
      <c r="Q6" s="4">
        <f>HUNGARY2008ttl!Q2/HUNGARY2008ttl!$BE$17</f>
        <v>1.6236694930543026E-3</v>
      </c>
      <c r="R6" s="4">
        <f>HUNGARY2008ttl!R2/HUNGARY2008ttl!$BE$18</f>
        <v>8.3197239084214093E-4</v>
      </c>
      <c r="S6" s="4">
        <f>HUNGARY2008ttl!S2/HUNGARY2008ttl!$BE$19</f>
        <v>1.740802960582378E-3</v>
      </c>
      <c r="T6" s="4">
        <f>HUNGARY2008ttl!T2/HUNGARY2008ttl!$BE$20</f>
        <v>1.7192518420555455E-3</v>
      </c>
      <c r="U6" s="4">
        <f>HUNGARY2008ttl!U2/HUNGARY2008ttl!$BE$21</f>
        <v>1.2707221451456329E-3</v>
      </c>
      <c r="V6" s="4">
        <f>HUNGARY2008ttl!V2/HUNGARY2008ttl!$BE$22</f>
        <v>1.3320416565754424E-3</v>
      </c>
      <c r="W6" s="4">
        <f>HUNGARY2008ttl!W2/HUNGARY2008ttl!$BE$23</f>
        <v>5.2876961564703217E-3</v>
      </c>
      <c r="X6" s="4">
        <f>HUNGARY2008ttl!X2/HUNGARY2008ttl!$BE$24</f>
        <v>1.1722705303923924E-2</v>
      </c>
      <c r="Y6" s="4">
        <f>HUNGARY2008ttl!Y2/HUNGARY2008ttl!$BE$25</f>
        <v>2.9592608424029196E-3</v>
      </c>
      <c r="Z6" s="4">
        <f>HUNGARY2008ttl!Z2/HUNGARY2008ttl!$BE$26</f>
        <v>2.4256916382615497E-3</v>
      </c>
      <c r="AA6" s="4">
        <f>HUNGARY2008ttl!AA2/HUNGARY2008ttl!$BE$27</f>
        <v>1.2628007214257329E-2</v>
      </c>
      <c r="AB6" s="4">
        <f>HUNGARY2008ttl!AB2/HUNGARY2008ttl!$BE$28</f>
        <v>1.7586106975489362E-3</v>
      </c>
      <c r="AC6" s="4">
        <f>HUNGARY2008ttl!AC2/HUNGARY2008ttl!$BE$29</f>
        <v>2.7184466019417462E-3</v>
      </c>
      <c r="AD6" s="4">
        <f>HUNGARY2008ttl!AD2/HUNGARY2008ttl!$BE$30</f>
        <v>2.8691066997518608E-3</v>
      </c>
      <c r="AE6" s="4">
        <f>HUNGARY2008ttl!AE2/HUNGARY2008ttl!$BE$31</f>
        <v>3.1843258153496676E-3</v>
      </c>
      <c r="AF6" s="4">
        <f>HUNGARY2008ttl!AF2/HUNGARY2008ttl!$BE$32</f>
        <v>4.1264339357926887E-4</v>
      </c>
      <c r="AG6" s="4">
        <f>HUNGARY2008ttl!AG2/HUNGARY2008ttl!$BE$33</f>
        <v>1.8401959568398858E-2</v>
      </c>
      <c r="AH6" s="4">
        <f>HUNGARY2008ttl!AH2/HUNGARY2008ttl!$BE$34</f>
        <v>2.411142314129294E-3</v>
      </c>
      <c r="AI6" s="4">
        <f>HUNGARY2008ttl!AI2/HUNGARY2008ttl!$BE$35</f>
        <v>1.2766596575548214E-3</v>
      </c>
      <c r="AJ6" s="4">
        <f>HUNGARY2008ttl!AJ2/HUNGARY2008ttl!$BE$36</f>
        <v>6.7314682678585832E-4</v>
      </c>
      <c r="AK6" s="4">
        <f>HUNGARY2008ttl!AK2/HUNGARY2008ttl!$BE$37</f>
        <v>5.3506894494929999E-4</v>
      </c>
      <c r="AL6" s="4">
        <f>HUNGARY2008ttl!AL2/HUNGARY2008ttl!$BE$38</f>
        <v>1.0690035946714282E-3</v>
      </c>
      <c r="AM6" s="4">
        <f>HUNGARY2008ttl!AM2/HUNGARY2008ttl!$BE$39</f>
        <v>2.2633712402012579E-3</v>
      </c>
      <c r="AN6" s="4">
        <f>HUNGARY2008ttl!AN2/HUNGARY2008ttl!$BE$40</f>
        <v>2.7782850285654665E-3</v>
      </c>
      <c r="AO6" s="4">
        <f>HUNGARY2008ttl!AO2/HUNGARY2008ttl!$BE$41</f>
        <v>8.4659246532705864E-4</v>
      </c>
      <c r="AP6" s="4">
        <f>HUNGARY2008ttl!AP2/HUNGARY2008ttl!$BE$42</f>
        <v>6.0340747752011365E-4</v>
      </c>
      <c r="AQ6" s="4">
        <f>HUNGARY2008ttl!AQ2/HUNGARY2008ttl!$BE$43</f>
        <v>3.0273901466184939E-3</v>
      </c>
      <c r="AR6" s="4">
        <f>HUNGARY2008ttl!AR2/HUNGARY2008ttl!$BE$44</f>
        <v>1.7229913548153072E-3</v>
      </c>
      <c r="AS6" s="4">
        <f>HUNGARY2008ttl!AS2/HUNGARY2008ttl!$BE$45</f>
        <v>3.704801422643747E-3</v>
      </c>
      <c r="AT6" s="4">
        <f>HUNGARY2008ttl!AT2/HUNGARY2008ttl!$BE$46</f>
        <v>0</v>
      </c>
    </row>
    <row r="7" spans="1:55" x14ac:dyDescent="0.3">
      <c r="A7" s="19" t="s">
        <v>55</v>
      </c>
      <c r="B7" s="4">
        <f>HUNGARY2008ttl!B3/HUNGARY2008ttl!$BE$2</f>
        <v>1.3120776749983595E-4</v>
      </c>
      <c r="C7" s="4">
        <f>HUNGARY2008ttl!C3/HUNGARY2008ttl!$BE$3</f>
        <v>0.11861614497528833</v>
      </c>
      <c r="D7" s="4">
        <f>HUNGARY2008ttl!D3/HUNGARY2008ttl!$BE$4</f>
        <v>0</v>
      </c>
      <c r="E7" s="4">
        <f>HUNGARY2008ttl!E3/HUNGARY2008ttl!$BE$5</f>
        <v>0</v>
      </c>
      <c r="F7" s="4">
        <f>HUNGARY2008ttl!F3/HUNGARY2008ttl!$BE$6</f>
        <v>0</v>
      </c>
      <c r="G7" s="4">
        <f>HUNGARY2008ttl!G3/HUNGARY2008ttl!$BE$7</f>
        <v>1.8522710901644406E-4</v>
      </c>
      <c r="H7" s="4">
        <f>HUNGARY2008ttl!H3/HUNGARY2008ttl!$BE$8</f>
        <v>0</v>
      </c>
      <c r="I7" s="4">
        <f>HUNGARY2008ttl!I3/HUNGARY2008ttl!$BE$9</f>
        <v>0</v>
      </c>
      <c r="J7" s="4">
        <f>HUNGARY2008ttl!J3/HUNGARY2008ttl!$BE$10</f>
        <v>0</v>
      </c>
      <c r="K7" s="4">
        <f>HUNGARY2008ttl!K3/HUNGARY2008ttl!$BE$11</f>
        <v>1.0396955771350148E-5</v>
      </c>
      <c r="L7" s="4">
        <f>HUNGARY2008ttl!L3/HUNGARY2008ttl!$BE$12</f>
        <v>0</v>
      </c>
      <c r="M7" s="4">
        <f>HUNGARY2008ttl!M3/HUNGARY2008ttl!$BE$13</f>
        <v>0</v>
      </c>
      <c r="N7" s="4">
        <f>HUNGARY2008ttl!N3/HUNGARY2008ttl!$BE$14</f>
        <v>0</v>
      </c>
      <c r="O7" s="4">
        <f>HUNGARY2008ttl!O3/HUNGARY2008ttl!$BE$15</f>
        <v>0</v>
      </c>
      <c r="P7" s="4">
        <f>HUNGARY2008ttl!P3/HUNGARY2008ttl!$BE$16</f>
        <v>0</v>
      </c>
      <c r="Q7" s="4">
        <f>HUNGARY2008ttl!Q3/HUNGARY2008ttl!$BE$17</f>
        <v>0</v>
      </c>
      <c r="R7" s="4">
        <f>HUNGARY2008ttl!R3/HUNGARY2008ttl!$BE$18</f>
        <v>4.4019703219160905E-6</v>
      </c>
      <c r="S7" s="4">
        <f>HUNGARY2008ttl!S3/HUNGARY2008ttl!$BE$19</f>
        <v>0</v>
      </c>
      <c r="T7" s="4">
        <f>HUNGARY2008ttl!T3/HUNGARY2008ttl!$BE$20</f>
        <v>0</v>
      </c>
      <c r="U7" s="4">
        <f>HUNGARY2008ttl!U3/HUNGARY2008ttl!$BE$21</f>
        <v>8.3326042304631669E-6</v>
      </c>
      <c r="V7" s="4">
        <f>HUNGARY2008ttl!V3/HUNGARY2008ttl!$BE$22</f>
        <v>0</v>
      </c>
      <c r="W7" s="4">
        <f>HUNGARY2008ttl!W3/HUNGARY2008ttl!$BE$23</f>
        <v>0</v>
      </c>
      <c r="X7" s="4">
        <f>HUNGARY2008ttl!X3/HUNGARY2008ttl!$BE$24</f>
        <v>1.043874025282629E-5</v>
      </c>
      <c r="Y7" s="4">
        <f>HUNGARY2008ttl!Y3/HUNGARY2008ttl!$BE$25</f>
        <v>0</v>
      </c>
      <c r="Z7" s="4">
        <f>HUNGARY2008ttl!Z3/HUNGARY2008ttl!$BE$26</f>
        <v>1.1496168901713506E-5</v>
      </c>
      <c r="AA7" s="4">
        <f>HUNGARY2008ttl!AA3/HUNGARY2008ttl!$BE$27</f>
        <v>1.2227554794729925E-5</v>
      </c>
      <c r="AB7" s="4">
        <f>HUNGARY2008ttl!AB3/HUNGARY2008ttl!$BE$28</f>
        <v>0</v>
      </c>
      <c r="AC7" s="4">
        <f>HUNGARY2008ttl!AC3/HUNGARY2008ttl!$BE$29</f>
        <v>0</v>
      </c>
      <c r="AD7" s="4">
        <f>HUNGARY2008ttl!AD3/HUNGARY2008ttl!$BE$30</f>
        <v>0</v>
      </c>
      <c r="AE7" s="4">
        <f>HUNGARY2008ttl!AE3/HUNGARY2008ttl!$BE$31</f>
        <v>2.0282330034074319E-5</v>
      </c>
      <c r="AF7" s="4">
        <f>HUNGARY2008ttl!AF3/HUNGARY2008ttl!$BE$32</f>
        <v>0</v>
      </c>
      <c r="AG7" s="4">
        <f>HUNGARY2008ttl!AG3/HUNGARY2008ttl!$BE$33</f>
        <v>1.968870147587746E-3</v>
      </c>
      <c r="AH7" s="4">
        <f>HUNGARY2008ttl!AH3/HUNGARY2008ttl!$BE$34</f>
        <v>0</v>
      </c>
      <c r="AI7" s="4">
        <f>HUNGARY2008ttl!AI3/HUNGARY2008ttl!$BE$35</f>
        <v>0</v>
      </c>
      <c r="AJ7" s="4">
        <f>HUNGARY2008ttl!AJ3/HUNGARY2008ttl!$BE$36</f>
        <v>0</v>
      </c>
      <c r="AK7" s="4">
        <f>HUNGARY2008ttl!AK3/HUNGARY2008ttl!$BE$37</f>
        <v>0</v>
      </c>
      <c r="AL7" s="4">
        <f>HUNGARY2008ttl!AL3/HUNGARY2008ttl!$BE$38</f>
        <v>5.8736461245682871E-6</v>
      </c>
      <c r="AM7" s="4">
        <f>HUNGARY2008ttl!AM3/HUNGARY2008ttl!$BE$39</f>
        <v>7.8863109414677985E-6</v>
      </c>
      <c r="AN7" s="4">
        <f>HUNGARY2008ttl!AN3/HUNGARY2008ttl!$BE$40</f>
        <v>1.3043591683405945E-5</v>
      </c>
      <c r="AO7" s="4">
        <f>HUNGARY2008ttl!AO3/HUNGARY2008ttl!$BE$41</f>
        <v>0</v>
      </c>
      <c r="AP7" s="4">
        <f>HUNGARY2008ttl!AP3/HUNGARY2008ttl!$BE$42</f>
        <v>0</v>
      </c>
      <c r="AQ7" s="4">
        <f>HUNGARY2008ttl!AQ3/HUNGARY2008ttl!$BE$43</f>
        <v>1.1048869148242679E-5</v>
      </c>
      <c r="AR7" s="4">
        <f>HUNGARY2008ttl!AR3/HUNGARY2008ttl!$BE$44</f>
        <v>1.2091167402212683E-4</v>
      </c>
      <c r="AS7" s="4">
        <f>HUNGARY2008ttl!AS3/HUNGARY2008ttl!$BE$45</f>
        <v>2.4698676150958316E-5</v>
      </c>
      <c r="AT7" s="4">
        <f>HUNGARY2008ttl!AT3/HUNGARY2008ttl!$BE$46</f>
        <v>0</v>
      </c>
    </row>
    <row r="8" spans="1:55" x14ac:dyDescent="0.3">
      <c r="A8" s="19" t="s">
        <v>56</v>
      </c>
      <c r="B8" s="4">
        <f>HUNGARY2008ttl!B4/HUNGARY2008ttl!$BE$2</f>
        <v>2.8501242829131034E-3</v>
      </c>
      <c r="C8" s="4">
        <f>HUNGARY2008ttl!C4/HUNGARY2008ttl!$BE$3</f>
        <v>1.6474464579901158E-3</v>
      </c>
      <c r="D8" s="4">
        <f>HUNGARY2008ttl!D4/HUNGARY2008ttl!$BE$4</f>
        <v>6.0094265514532084E-2</v>
      </c>
      <c r="E8" s="4">
        <f>HUNGARY2008ttl!E4/HUNGARY2008ttl!$BE$5</f>
        <v>2.9300328365748918E-2</v>
      </c>
      <c r="F8" s="4">
        <f>HUNGARY2008ttl!F4/HUNGARY2008ttl!$BE$6</f>
        <v>3.2362459546925568E-3</v>
      </c>
      <c r="G8" s="4">
        <f>HUNGARY2008ttl!G4/HUNGARY2008ttl!$BE$7</f>
        <v>3.5330355979062474E-3</v>
      </c>
      <c r="H8" s="4">
        <f>HUNGARY2008ttl!H4/HUNGARY2008ttl!$BE$8</f>
        <v>9.8637015781922522E-4</v>
      </c>
      <c r="I8" s="4">
        <f>HUNGARY2008ttl!I4/HUNGARY2008ttl!$BE$9</f>
        <v>1.3921113689095129E-3</v>
      </c>
      <c r="J8" s="4">
        <f>HUNGARY2008ttl!J4/HUNGARY2008ttl!$BE$10</f>
        <v>3.1651963095157922E-3</v>
      </c>
      <c r="K8" s="4">
        <f>HUNGARY2008ttl!K4/HUNGARY2008ttl!$BE$11</f>
        <v>0.23049011249506143</v>
      </c>
      <c r="L8" s="4">
        <f>HUNGARY2008ttl!L4/HUNGARY2008ttl!$BE$12</f>
        <v>2.4242424242424235E-2</v>
      </c>
      <c r="M8" s="4">
        <f>HUNGARY2008ttl!M4/HUNGARY2008ttl!$BE$13</f>
        <v>3.0943931866572036E-3</v>
      </c>
      <c r="N8" s="4">
        <f>HUNGARY2008ttl!N4/HUNGARY2008ttl!$BE$14</f>
        <v>5.3421860988686002E-4</v>
      </c>
      <c r="O8" s="4">
        <f>HUNGARY2008ttl!O4/HUNGARY2008ttl!$BE$15</f>
        <v>1.4469838531934266E-2</v>
      </c>
      <c r="P8" s="4">
        <f>HUNGARY2008ttl!P4/HUNGARY2008ttl!$BE$16</f>
        <v>3.544149739801912E-2</v>
      </c>
      <c r="Q8" s="4">
        <f>HUNGARY2008ttl!Q4/HUNGARY2008ttl!$BE$17</f>
        <v>7.8723369360208595E-4</v>
      </c>
      <c r="R8" s="4">
        <f>HUNGARY2008ttl!R4/HUNGARY2008ttl!$BE$18</f>
        <v>2.2890245673963668E-4</v>
      </c>
      <c r="S8" s="4">
        <f>HUNGARY2008ttl!S4/HUNGARY2008ttl!$BE$19</f>
        <v>4.2607065468799464E-4</v>
      </c>
      <c r="T8" s="4">
        <f>HUNGARY2008ttl!T4/HUNGARY2008ttl!$BE$20</f>
        <v>6.8014358586812801E-4</v>
      </c>
      <c r="U8" s="4">
        <f>HUNGARY2008ttl!U4/HUNGARY2008ttl!$BE$21</f>
        <v>5.3745297286487417E-4</v>
      </c>
      <c r="V8" s="4">
        <f>HUNGARY2008ttl!V4/HUNGARY2008ttl!$BE$22</f>
        <v>3.2695567934124493E-3</v>
      </c>
      <c r="W8" s="4">
        <f>HUNGARY2008ttl!W4/HUNGARY2008ttl!$BE$23</f>
        <v>3.9799863543324996E-4</v>
      </c>
      <c r="X8" s="4">
        <f>HUNGARY2008ttl!X4/HUNGARY2008ttl!$BE$24</f>
        <v>0.10877167343444995</v>
      </c>
      <c r="Y8" s="4">
        <f>HUNGARY2008ttl!Y4/HUNGARY2008ttl!$BE$25</f>
        <v>3.7483970670436984E-3</v>
      </c>
      <c r="Z8" s="4">
        <f>HUNGARY2008ttl!Z4/HUNGARY2008ttl!$BE$26</f>
        <v>2.5464014117295413E-3</v>
      </c>
      <c r="AA8" s="4">
        <f>HUNGARY2008ttl!AA4/HUNGARY2008ttl!$BE$27</f>
        <v>2.2009598630513862E-3</v>
      </c>
      <c r="AB8" s="4">
        <f>HUNGARY2008ttl!AB4/HUNGARY2008ttl!$BE$28</f>
        <v>5.1958952427582205E-3</v>
      </c>
      <c r="AC8" s="4">
        <f>HUNGARY2008ttl!AC4/HUNGARY2008ttl!$BE$29</f>
        <v>1.5533980582524266E-3</v>
      </c>
      <c r="AD8" s="4">
        <f>HUNGARY2008ttl!AD4/HUNGARY2008ttl!$BE$30</f>
        <v>1.3957816377171215E-3</v>
      </c>
      <c r="AE8" s="4">
        <f>HUNGARY2008ttl!AE4/HUNGARY2008ttl!$BE$31</f>
        <v>8.9039428849586252E-3</v>
      </c>
      <c r="AF8" s="4">
        <f>HUNGARY2008ttl!AF4/HUNGARY2008ttl!$BE$32</f>
        <v>1.9806882891804903E-3</v>
      </c>
      <c r="AG8" s="4">
        <f>HUNGARY2008ttl!AG4/HUNGARY2008ttl!$BE$33</f>
        <v>5.1779734590102931E-3</v>
      </c>
      <c r="AH8" s="4">
        <f>HUNGARY2008ttl!AH4/HUNGARY2008ttl!$BE$34</f>
        <v>7.0915950415567468E-4</v>
      </c>
      <c r="AI8" s="4">
        <f>HUNGARY2008ttl!AI4/HUNGARY2008ttl!$BE$35</f>
        <v>9.1994592970862153E-4</v>
      </c>
      <c r="AJ8" s="4">
        <f>HUNGARY2008ttl!AJ4/HUNGARY2008ttl!$BE$36</f>
        <v>4.0388809607151503E-4</v>
      </c>
      <c r="AK8" s="4">
        <f>HUNGARY2008ttl!AK4/HUNGARY2008ttl!$BE$37</f>
        <v>5.7892705519104587E-4</v>
      </c>
      <c r="AL8" s="4">
        <f>HUNGARY2008ttl!AL4/HUNGARY2008ttl!$BE$38</f>
        <v>1.4096750698963888E-3</v>
      </c>
      <c r="AM8" s="4">
        <f>HUNGARY2008ttl!AM4/HUNGARY2008ttl!$BE$39</f>
        <v>2.9100487374016173E-3</v>
      </c>
      <c r="AN8" s="4">
        <f>HUNGARY2008ttl!AN4/HUNGARY2008ttl!$BE$40</f>
        <v>1.9956695275611096E-3</v>
      </c>
      <c r="AO8" s="4">
        <f>HUNGARY2008ttl!AO4/HUNGARY2008ttl!$BE$41</f>
        <v>3.1622718557804833E-3</v>
      </c>
      <c r="AP8" s="4">
        <f>HUNGARY2008ttl!AP4/HUNGARY2008ttl!$BE$42</f>
        <v>5.9985802176999543E-3</v>
      </c>
      <c r="AQ8" s="4">
        <f>HUNGARY2008ttl!AQ4/HUNGARY2008ttl!$BE$43</f>
        <v>6.9607875633928874E-3</v>
      </c>
      <c r="AR8" s="4">
        <f>HUNGARY2008ttl!AR4/HUNGARY2008ttl!$BE$44</f>
        <v>8.8567801221207908E-3</v>
      </c>
      <c r="AS8" s="4">
        <f>HUNGARY2008ttl!AS4/HUNGARY2008ttl!$BE$45</f>
        <v>2.2475795297372063E-3</v>
      </c>
      <c r="AT8" s="4">
        <f>HUNGARY2008ttl!AT4/HUNGARY2008ttl!$BE$46</f>
        <v>0</v>
      </c>
    </row>
    <row r="9" spans="1:55" x14ac:dyDescent="0.3">
      <c r="A9" s="19" t="s">
        <v>57</v>
      </c>
      <c r="B9" s="4">
        <f>HUNGARY2008ttl!B5/HUNGARY2008ttl!$BE$2</f>
        <v>1.5307572874980861E-3</v>
      </c>
      <c r="C9" s="4">
        <f>HUNGARY2008ttl!C5/HUNGARY2008ttl!$BE$3</f>
        <v>0</v>
      </c>
      <c r="D9" s="4">
        <f>HUNGARY2008ttl!D5/HUNGARY2008ttl!$BE$4</f>
        <v>0.10644147682639343</v>
      </c>
      <c r="E9" s="4">
        <f>HUNGARY2008ttl!E5/HUNGARY2008ttl!$BE$5</f>
        <v>4.3697903510987617E-2</v>
      </c>
      <c r="F9" s="4">
        <f>HUNGARY2008ttl!F5/HUNGARY2008ttl!$BE$6</f>
        <v>4.2610571736785334E-2</v>
      </c>
      <c r="G9" s="4">
        <f>HUNGARY2008ttl!G5/HUNGARY2008ttl!$BE$7</f>
        <v>3.5193150713124367E-3</v>
      </c>
      <c r="H9" s="4">
        <f>HUNGARY2008ttl!H5/HUNGARY2008ttl!$BE$8</f>
        <v>5.3802008608321375E-4</v>
      </c>
      <c r="I9" s="4">
        <f>HUNGARY2008ttl!I5/HUNGARY2008ttl!$BE$9</f>
        <v>1.0606562810739145E-3</v>
      </c>
      <c r="J9" s="4">
        <f>HUNGARY2008ttl!J5/HUNGARY2008ttl!$BE$10</f>
        <v>1.6836150582530808E-3</v>
      </c>
      <c r="K9" s="4">
        <f>HUNGARY2008ttl!K5/HUNGARY2008ttl!$BE$11</f>
        <v>1.0396955771350147E-4</v>
      </c>
      <c r="L9" s="4">
        <f>HUNGARY2008ttl!L5/HUNGARY2008ttl!$BE$12</f>
        <v>2.6366382861851131E-3</v>
      </c>
      <c r="M9" s="4">
        <f>HUNGARY2008ttl!M5/HUNGARY2008ttl!$BE$13</f>
        <v>4.826117814052519E-4</v>
      </c>
      <c r="N9" s="4">
        <f>HUNGARY2008ttl!N5/HUNGARY2008ttl!$BE$14</f>
        <v>1.6026558296605802E-3</v>
      </c>
      <c r="O9" s="4">
        <f>HUNGARY2008ttl!O5/HUNGARY2008ttl!$BE$15</f>
        <v>3.2748790187341295E-2</v>
      </c>
      <c r="P9" s="4">
        <f>HUNGARY2008ttl!P5/HUNGARY2008ttl!$BE$16</f>
        <v>6.5469195903978478E-3</v>
      </c>
      <c r="Q9" s="4">
        <f>HUNGARY2008ttl!Q5/HUNGARY2008ttl!$BE$17</f>
        <v>3.4113460056090397E-3</v>
      </c>
      <c r="R9" s="4">
        <f>HUNGARY2008ttl!R5/HUNGARY2008ttl!$BE$18</f>
        <v>2.729221599587976E-4</v>
      </c>
      <c r="S9" s="4">
        <f>HUNGARY2008ttl!S5/HUNGARY2008ttl!$BE$19</f>
        <v>1.2660385167871842E-3</v>
      </c>
      <c r="T9" s="4">
        <f>HUNGARY2008ttl!T5/HUNGARY2008ttl!$BE$20</f>
        <v>1.4925373134328365E-3</v>
      </c>
      <c r="U9" s="4">
        <f>HUNGARY2008ttl!U5/HUNGARY2008ttl!$BE$21</f>
        <v>6.8743984901321116E-4</v>
      </c>
      <c r="V9" s="4">
        <f>HUNGARY2008ttl!V5/HUNGARY2008ttl!$BE$22</f>
        <v>6.0547348026156471E-4</v>
      </c>
      <c r="W9" s="4">
        <f>HUNGARY2008ttl!W5/HUNGARY2008ttl!$BE$23</f>
        <v>1.0234250625426428E-3</v>
      </c>
      <c r="X9" s="4">
        <f>HUNGARY2008ttl!X5/HUNGARY2008ttl!$BE$24</f>
        <v>2.1921354530935209E-4</v>
      </c>
      <c r="Y9" s="4">
        <f>HUNGARY2008ttl!Y5/HUNGARY2008ttl!$BE$25</f>
        <v>1.8413178574951498E-3</v>
      </c>
      <c r="Z9" s="4">
        <f>HUNGARY2008ttl!Z5/HUNGARY2008ttl!$BE$26</f>
        <v>8.1622799202165884E-3</v>
      </c>
      <c r="AA9" s="4">
        <f>HUNGARY2008ttl!AA5/HUNGARY2008ttl!$BE$27</f>
        <v>1.0271146027573137E-3</v>
      </c>
      <c r="AB9" s="4">
        <f>HUNGARY2008ttl!AB5/HUNGARY2008ttl!$BE$28</f>
        <v>1.2989738106895552E-4</v>
      </c>
      <c r="AC9" s="4">
        <f>HUNGARY2008ttl!AC5/HUNGARY2008ttl!$BE$29</f>
        <v>7.7669902912621332E-4</v>
      </c>
      <c r="AD9" s="4">
        <f>HUNGARY2008ttl!AD5/HUNGARY2008ttl!$BE$30</f>
        <v>0</v>
      </c>
      <c r="AE9" s="4">
        <f>HUNGARY2008ttl!AE5/HUNGARY2008ttl!$BE$31</f>
        <v>3.85364270647412E-4</v>
      </c>
      <c r="AF9" s="4">
        <f>HUNGARY2008ttl!AF5/HUNGARY2008ttl!$BE$32</f>
        <v>0</v>
      </c>
      <c r="AG9" s="4">
        <f>HUNGARY2008ttl!AG5/HUNGARY2008ttl!$BE$33</f>
        <v>6.2011658191740043E-5</v>
      </c>
      <c r="AH9" s="4">
        <f>HUNGARY2008ttl!AH5/HUNGARY2008ttl!$BE$34</f>
        <v>1.1346552066490796E-4</v>
      </c>
      <c r="AI9" s="4">
        <f>HUNGARY2008ttl!AI5/HUNGARY2008ttl!$BE$35</f>
        <v>3.7548813457494757E-5</v>
      </c>
      <c r="AJ9" s="4">
        <f>HUNGARY2008ttl!AJ5/HUNGARY2008ttl!$BE$36</f>
        <v>3.5003634992864636E-4</v>
      </c>
      <c r="AK9" s="4">
        <f>HUNGARY2008ttl!AK5/HUNGARY2008ttl!$BE$37</f>
        <v>1.7543244096698364E-5</v>
      </c>
      <c r="AL9" s="4">
        <f>HUNGARY2008ttl!AL5/HUNGARY2008ttl!$BE$38</f>
        <v>3.0484223386509409E-3</v>
      </c>
      <c r="AM9" s="4">
        <f>HUNGARY2008ttl!AM5/HUNGARY2008ttl!$BE$39</f>
        <v>7.491995394394408E-4</v>
      </c>
      <c r="AN9" s="4">
        <f>HUNGARY2008ttl!AN5/HUNGARY2008ttl!$BE$40</f>
        <v>3.3913338376855457E-4</v>
      </c>
      <c r="AO9" s="4">
        <f>HUNGARY2008ttl!AO5/HUNGARY2008ttl!$BE$41</f>
        <v>1.2449889195986156E-4</v>
      </c>
      <c r="AP9" s="4">
        <f>HUNGARY2008ttl!AP5/HUNGARY2008ttl!$BE$42</f>
        <v>2.3663038334122106E-4</v>
      </c>
      <c r="AQ9" s="4">
        <f>HUNGARY2008ttl!AQ5/HUNGARY2008ttl!$BE$43</f>
        <v>5.7454119570861926E-4</v>
      </c>
      <c r="AR9" s="4">
        <f>HUNGARY2008ttl!AR5/HUNGARY2008ttl!$BE$44</f>
        <v>6.3478628861616583E-4</v>
      </c>
      <c r="AS9" s="4">
        <f>HUNGARY2008ttl!AS5/HUNGARY2008ttl!$BE$45</f>
        <v>1.4078245406046238E-3</v>
      </c>
      <c r="AT9" s="4">
        <f>HUNGARY2008ttl!AT5/HUNGARY2008ttl!$BE$46</f>
        <v>0</v>
      </c>
    </row>
    <row r="10" spans="1:55" x14ac:dyDescent="0.3">
      <c r="A10" s="19" t="s">
        <v>58</v>
      </c>
      <c r="B10" s="4">
        <f>HUNGARY2008ttl!B6/HUNGARY2008ttl!$BE$2</f>
        <v>2.9157281666630211E-5</v>
      </c>
      <c r="C10" s="4">
        <f>HUNGARY2008ttl!C6/HUNGARY2008ttl!$BE$3</f>
        <v>0</v>
      </c>
      <c r="D10" s="4">
        <f>HUNGARY2008ttl!D6/HUNGARY2008ttl!$BE$4</f>
        <v>0.14925373134328229</v>
      </c>
      <c r="E10" s="4">
        <f>HUNGARY2008ttl!E6/HUNGARY2008ttl!$BE$5</f>
        <v>1.5155342258145992E-3</v>
      </c>
      <c r="F10" s="4">
        <f>HUNGARY2008ttl!F6/HUNGARY2008ttl!$BE$6</f>
        <v>4.9622437971952538E-2</v>
      </c>
      <c r="G10" s="4">
        <f>HUNGARY2008ttl!G6/HUNGARY2008ttl!$BE$7</f>
        <v>3.4301316484526671E-5</v>
      </c>
      <c r="H10" s="4">
        <f>HUNGARY2008ttl!H6/HUNGARY2008ttl!$BE$8</f>
        <v>0</v>
      </c>
      <c r="I10" s="4">
        <f>HUNGARY2008ttl!I6/HUNGARY2008ttl!$BE$9</f>
        <v>1.3258203513423931E-4</v>
      </c>
      <c r="J10" s="4">
        <f>HUNGARY2008ttl!J6/HUNGARY2008ttl!$BE$10</f>
        <v>3.3672301165061618E-5</v>
      </c>
      <c r="K10" s="4">
        <f>HUNGARY2008ttl!K6/HUNGARY2008ttl!$BE$11</f>
        <v>4.876172256763219E-3</v>
      </c>
      <c r="L10" s="4">
        <f>HUNGARY2008ttl!L6/HUNGARY2008ttl!$BE$12</f>
        <v>1.8309988098507731E-4</v>
      </c>
      <c r="M10" s="4">
        <f>HUNGARY2008ttl!M6/HUNGARY2008ttl!$BE$13</f>
        <v>2.8388928317955994E-5</v>
      </c>
      <c r="N10" s="4">
        <f>HUNGARY2008ttl!N6/HUNGARY2008ttl!$BE$14</f>
        <v>1.3355465247171501E-4</v>
      </c>
      <c r="O10" s="4">
        <f>HUNGARY2008ttl!O6/HUNGARY2008ttl!$BE$15</f>
        <v>1.1978343155574723E-4</v>
      </c>
      <c r="P10" s="4">
        <f>HUNGARY2008ttl!P6/HUNGARY2008ttl!$BE$16</f>
        <v>6.0852778244082566E-4</v>
      </c>
      <c r="Q10" s="4">
        <f>HUNGARY2008ttl!Q6/HUNGARY2008ttl!$BE$17</f>
        <v>1.640070195004346E-5</v>
      </c>
      <c r="R10" s="4">
        <f>HUNGARY2008ttl!R6/HUNGARY2008ttl!$BE$18</f>
        <v>2.2009851609580451E-5</v>
      </c>
      <c r="S10" s="4">
        <f>HUNGARY2008ttl!S6/HUNGARY2008ttl!$BE$19</f>
        <v>2.4346894553599693E-5</v>
      </c>
      <c r="T10" s="4">
        <f>HUNGARY2008ttl!T6/HUNGARY2008ttl!$BE$20</f>
        <v>7.5571509540903108E-5</v>
      </c>
      <c r="U10" s="4">
        <f>HUNGARY2008ttl!U6/HUNGARY2008ttl!$BE$21</f>
        <v>7.4993438074168499E-5</v>
      </c>
      <c r="V10" s="4">
        <f>HUNGARY2008ttl!V6/HUNGARY2008ttl!$BE$22</f>
        <v>1.2109469605231294E-4</v>
      </c>
      <c r="W10" s="4">
        <f>HUNGARY2008ttl!W6/HUNGARY2008ttl!$BE$23</f>
        <v>1.4214236979758927E-4</v>
      </c>
      <c r="X10" s="4">
        <f>HUNGARY2008ttl!X6/HUNGARY2008ttl!$BE$24</f>
        <v>8.3509922022610326E-4</v>
      </c>
      <c r="Y10" s="4">
        <f>HUNGARY2008ttl!Y6/HUNGARY2008ttl!$BE$25</f>
        <v>6.5761352053398216E-5</v>
      </c>
      <c r="Z10" s="4">
        <f>HUNGARY2008ttl!Z6/HUNGARY2008ttl!$BE$26</f>
        <v>3.506331515022619E-4</v>
      </c>
      <c r="AA10" s="4">
        <f>HUNGARY2008ttl!AA6/HUNGARY2008ttl!$BE$27</f>
        <v>3.6682664384189773E-5</v>
      </c>
      <c r="AB10" s="4">
        <f>HUNGARY2008ttl!AB6/HUNGARY2008ttl!$BE$28</f>
        <v>4.9960531180367503E-5</v>
      </c>
      <c r="AC10" s="4">
        <f>HUNGARY2008ttl!AC6/HUNGARY2008ttl!$BE$29</f>
        <v>0</v>
      </c>
      <c r="AD10" s="4">
        <f>HUNGARY2008ttl!AD6/HUNGARY2008ttl!$BE$30</f>
        <v>0</v>
      </c>
      <c r="AE10" s="4">
        <f>HUNGARY2008ttl!AE6/HUNGARY2008ttl!$BE$31</f>
        <v>8.1129320136297275E-5</v>
      </c>
      <c r="AF10" s="4">
        <f>HUNGARY2008ttl!AF6/HUNGARY2008ttl!$BE$32</f>
        <v>0</v>
      </c>
      <c r="AG10" s="4">
        <f>HUNGARY2008ttl!AG6/HUNGARY2008ttl!$BE$33</f>
        <v>4.6508743643805032E-5</v>
      </c>
      <c r="AH10" s="4">
        <f>HUNGARY2008ttl!AH6/HUNGARY2008ttl!$BE$34</f>
        <v>2.8366380166226989E-5</v>
      </c>
      <c r="AI10" s="4">
        <f>HUNGARY2008ttl!AI6/HUNGARY2008ttl!$BE$35</f>
        <v>1.8774406728747379E-5</v>
      </c>
      <c r="AJ10" s="4">
        <f>HUNGARY2008ttl!AJ6/HUNGARY2008ttl!$BE$36</f>
        <v>2.6925873071434336E-5</v>
      </c>
      <c r="AK10" s="4">
        <f>HUNGARY2008ttl!AK6/HUNGARY2008ttl!$BE$37</f>
        <v>1.7543244096698364E-5</v>
      </c>
      <c r="AL10" s="4">
        <f>HUNGARY2008ttl!AL6/HUNGARY2008ttl!$BE$38</f>
        <v>2.9368230622841432E-5</v>
      </c>
      <c r="AM10" s="4">
        <f>HUNGARY2008ttl!AM6/HUNGARY2008ttl!$BE$39</f>
        <v>6.3090487531742388E-5</v>
      </c>
      <c r="AN10" s="4">
        <f>HUNGARY2008ttl!AN6/HUNGARY2008ttl!$BE$40</f>
        <v>3.9130775050217832E-5</v>
      </c>
      <c r="AO10" s="4">
        <f>HUNGARY2008ttl!AO6/HUNGARY2008ttl!$BE$41</f>
        <v>2.4899778391972314E-5</v>
      </c>
      <c r="AP10" s="4">
        <f>HUNGARY2008ttl!AP6/HUNGARY2008ttl!$BE$42</f>
        <v>3.549455750118316E-5</v>
      </c>
      <c r="AQ10" s="4">
        <f>HUNGARY2008ttl!AQ6/HUNGARY2008ttl!$BE$43</f>
        <v>7.7342084037698749E-5</v>
      </c>
      <c r="AR10" s="4">
        <f>HUNGARY2008ttl!AR6/HUNGARY2008ttl!$BE$44</f>
        <v>9.0683755516595113E-5</v>
      </c>
      <c r="AS10" s="4">
        <f>HUNGARY2008ttl!AS6/HUNGARY2008ttl!$BE$45</f>
        <v>2.4698676150958316E-5</v>
      </c>
      <c r="AT10" s="4">
        <f>HUNGARY2008ttl!AT6/HUNGARY2008ttl!$BE$46</f>
        <v>0</v>
      </c>
    </row>
    <row r="11" spans="1:55" x14ac:dyDescent="0.3">
      <c r="A11" s="19" t="s">
        <v>59</v>
      </c>
      <c r="B11" s="4">
        <f>HUNGARY2008ttl!B7/HUNGARY2008ttl!$BE$2</f>
        <v>6.9583852697413004E-2</v>
      </c>
      <c r="C11" s="4">
        <f>HUNGARY2008ttl!C7/HUNGARY2008ttl!$BE$3</f>
        <v>4.7775947281713353E-2</v>
      </c>
      <c r="D11" s="4">
        <f>HUNGARY2008ttl!D7/HUNGARY2008ttl!$BE$4</f>
        <v>3.9277297721916392E-3</v>
      </c>
      <c r="E11" s="4">
        <f>HUNGARY2008ttl!E7/HUNGARY2008ttl!$BE$5</f>
        <v>7.5776711290729962E-4</v>
      </c>
      <c r="F11" s="4">
        <f>HUNGARY2008ttl!F7/HUNGARY2008ttl!$BE$6</f>
        <v>5.3937432578209283E-4</v>
      </c>
      <c r="G11" s="4">
        <f>HUNGARY2008ttl!G7/HUNGARY2008ttl!$BE$7</f>
        <v>9.4239436909588595E-2</v>
      </c>
      <c r="H11" s="4">
        <f>HUNGARY2008ttl!H7/HUNGARY2008ttl!$BE$8</f>
        <v>2.2417503586800573E-3</v>
      </c>
      <c r="I11" s="4">
        <f>HUNGARY2008ttl!I7/HUNGARY2008ttl!$BE$9</f>
        <v>1.4584023864766325E-3</v>
      </c>
      <c r="J11" s="4">
        <f>HUNGARY2008ttl!J7/HUNGARY2008ttl!$BE$10</f>
        <v>5.8253081015556601E-3</v>
      </c>
      <c r="K11" s="4">
        <f>HUNGARY2008ttl!K7/HUNGARY2008ttl!$BE$11</f>
        <v>4.5122788047659637E-3</v>
      </c>
      <c r="L11" s="4">
        <f>HUNGARY2008ttl!L7/HUNGARY2008ttl!$BE$12</f>
        <v>4.7972168818090251E-3</v>
      </c>
      <c r="M11" s="4">
        <f>HUNGARY2008ttl!M7/HUNGARY2008ttl!$BE$13</f>
        <v>4.9112845990063872E-3</v>
      </c>
      <c r="N11" s="4">
        <f>HUNGARY2008ttl!N7/HUNGARY2008ttl!$BE$14</f>
        <v>2.9572815904451181E-3</v>
      </c>
      <c r="O11" s="4">
        <f>HUNGARY2008ttl!O7/HUNGARY2008ttl!$BE$15</f>
        <v>1.3655311197355185E-3</v>
      </c>
      <c r="P11" s="4">
        <f>HUNGARY2008ttl!P7/HUNGARY2008ttl!$BE$16</f>
        <v>9.8623468188685547E-4</v>
      </c>
      <c r="Q11" s="4">
        <f>HUNGARY2008ttl!Q7/HUNGARY2008ttl!$BE$17</f>
        <v>1.0332442228527378E-3</v>
      </c>
      <c r="R11" s="4">
        <f>HUNGARY2008ttl!R7/HUNGARY2008ttl!$BE$18</f>
        <v>7.7034480633531575E-4</v>
      </c>
      <c r="S11" s="4">
        <f>HUNGARY2008ttl!S7/HUNGARY2008ttl!$BE$19</f>
        <v>1.2416916222335842E-3</v>
      </c>
      <c r="T11" s="4">
        <f>HUNGARY2008ttl!T7/HUNGARY2008ttl!$BE$20</f>
        <v>9.0685811449083724E-4</v>
      </c>
      <c r="U11" s="4">
        <f>HUNGARY2008ttl!U7/HUNGARY2008ttl!$BE$21</f>
        <v>7.5826698497214807E-4</v>
      </c>
      <c r="V11" s="4">
        <f>HUNGARY2008ttl!V7/HUNGARY2008ttl!$BE$22</f>
        <v>8.4766287236619046E-4</v>
      </c>
      <c r="W11" s="4">
        <f>HUNGARY2008ttl!W7/HUNGARY2008ttl!$BE$23</f>
        <v>1.5635660677734821E-3</v>
      </c>
      <c r="X11" s="4">
        <f>HUNGARY2008ttl!X7/HUNGARY2008ttl!$BE$24</f>
        <v>2.7453886864933145E-3</v>
      </c>
      <c r="Y11" s="4">
        <f>HUNGARY2008ttl!Y7/HUNGARY2008ttl!$BE$25</f>
        <v>1.0193009568276723E-3</v>
      </c>
      <c r="Z11" s="4">
        <f>HUNGARY2008ttl!Z7/HUNGARY2008ttl!$BE$26</f>
        <v>9.3118968103879385E-4</v>
      </c>
      <c r="AA11" s="4">
        <f>HUNGARY2008ttl!AA7/HUNGARY2008ttl!$BE$27</f>
        <v>6.9085684590224072E-3</v>
      </c>
      <c r="AB11" s="4">
        <f>HUNGARY2008ttl!AB7/HUNGARY2008ttl!$BE$28</f>
        <v>6.6947111781692455E-4</v>
      </c>
      <c r="AC11" s="4">
        <f>HUNGARY2008ttl!AC7/HUNGARY2008ttl!$BE$29</f>
        <v>8.9320388349514515E-3</v>
      </c>
      <c r="AD11" s="4">
        <f>HUNGARY2008ttl!AD7/HUNGARY2008ttl!$BE$30</f>
        <v>3.7996277915632753E-3</v>
      </c>
      <c r="AE11" s="4">
        <f>HUNGARY2008ttl!AE7/HUNGARY2008ttl!$BE$31</f>
        <v>4.0564660068148633E-4</v>
      </c>
      <c r="AF11" s="4">
        <f>HUNGARY2008ttl!AF7/HUNGARY2008ttl!$BE$32</f>
        <v>4.9517207229512257E-4</v>
      </c>
      <c r="AG11" s="4">
        <f>HUNGARY2008ttl!AG7/HUNGARY2008ttl!$BE$33</f>
        <v>0.2015999007813469</v>
      </c>
      <c r="AH11" s="4">
        <f>HUNGARY2008ttl!AH7/HUNGARY2008ttl!$BE$34</f>
        <v>6.240603636569938E-4</v>
      </c>
      <c r="AI11" s="4">
        <f>HUNGARY2008ttl!AI7/HUNGARY2008ttl!$BE$35</f>
        <v>3.3793932111745277E-4</v>
      </c>
      <c r="AJ11" s="4">
        <f>HUNGARY2008ttl!AJ7/HUNGARY2008ttl!$BE$36</f>
        <v>4.5773984221438366E-4</v>
      </c>
      <c r="AK11" s="4">
        <f>HUNGARY2008ttl!AK7/HUNGARY2008ttl!$BE$37</f>
        <v>4.298094803691099E-4</v>
      </c>
      <c r="AL11" s="4">
        <f>HUNGARY2008ttl!AL7/HUNGARY2008ttl!$BE$38</f>
        <v>1.0572563024222915E-3</v>
      </c>
      <c r="AM11" s="4">
        <f>HUNGARY2008ttl!AM7/HUNGARY2008ttl!$BE$39</f>
        <v>2.0662134666645628E-3</v>
      </c>
      <c r="AN11" s="4">
        <f>HUNGARY2008ttl!AN7/HUNGARY2008ttl!$BE$40</f>
        <v>6.430490699919131E-3</v>
      </c>
      <c r="AO11" s="4">
        <f>HUNGARY2008ttl!AO7/HUNGARY2008ttl!$BE$41</f>
        <v>1.8986081023878887E-3</v>
      </c>
      <c r="AP11" s="4">
        <f>HUNGARY2008ttl!AP7/HUNGARY2008ttl!$BE$42</f>
        <v>6.7439659252248004E-4</v>
      </c>
      <c r="AQ11" s="4">
        <f>HUNGARY2008ttl!AQ7/HUNGARY2008ttl!$BE$43</f>
        <v>1.4573458406532094E-2</v>
      </c>
      <c r="AR11" s="4">
        <f>HUNGARY2008ttl!AR7/HUNGARY2008ttl!$BE$44</f>
        <v>3.5064385466416778E-3</v>
      </c>
      <c r="AS11" s="4">
        <f>HUNGARY2008ttl!AS7/HUNGARY2008ttl!$BE$45</f>
        <v>3.4825133372851222E-3</v>
      </c>
      <c r="AT11" s="4">
        <f>HUNGARY2008ttl!AT7/HUNGARY2008ttl!$BE$46</f>
        <v>0</v>
      </c>
    </row>
    <row r="12" spans="1:55" x14ac:dyDescent="0.3">
      <c r="A12" s="19" t="s">
        <v>60</v>
      </c>
      <c r="B12" s="4">
        <f>HUNGARY2008ttl!B8/HUNGARY2008ttl!$BE$2</f>
        <v>4.6651650666608337E-4</v>
      </c>
      <c r="C12" s="4">
        <f>HUNGARY2008ttl!C8/HUNGARY2008ttl!$BE$3</f>
        <v>1.6474464579901158E-3</v>
      </c>
      <c r="D12" s="4">
        <f>HUNGARY2008ttl!D8/HUNGARY2008ttl!$BE$4</f>
        <v>7.8554595443832797E-4</v>
      </c>
      <c r="E12" s="4">
        <f>HUNGARY2008ttl!E8/HUNGARY2008ttl!$BE$5</f>
        <v>7.5776711290729962E-4</v>
      </c>
      <c r="F12" s="4">
        <f>HUNGARY2008ttl!F8/HUNGARY2008ttl!$BE$6</f>
        <v>5.3937432578209283E-4</v>
      </c>
      <c r="G12" s="4">
        <f>HUNGARY2008ttl!G8/HUNGARY2008ttl!$BE$7</f>
        <v>8.5753291211316683E-4</v>
      </c>
      <c r="H12" s="4">
        <f>HUNGARY2008ttl!H8/HUNGARY2008ttl!$BE$8</f>
        <v>0.21014167862266855</v>
      </c>
      <c r="I12" s="4">
        <f>HUNGARY2008ttl!I8/HUNGARY2008ttl!$BE$9</f>
        <v>1.1269472986410341E-3</v>
      </c>
      <c r="J12" s="4">
        <f>HUNGARY2008ttl!J8/HUNGARY2008ttl!$BE$10</f>
        <v>2.8958179001952991E-3</v>
      </c>
      <c r="K12" s="4">
        <f>HUNGARY2008ttl!K8/HUNGARY2008ttl!$BE$11</f>
        <v>2.2873302696970328E-4</v>
      </c>
      <c r="L12" s="4">
        <f>HUNGARY2008ttl!L8/HUNGARY2008ttl!$BE$12</f>
        <v>8.4225945253135553E-4</v>
      </c>
      <c r="M12" s="4">
        <f>HUNGARY2008ttl!M8/HUNGARY2008ttl!$BE$13</f>
        <v>9.9361249112845979E-4</v>
      </c>
      <c r="N12" s="4">
        <f>HUNGARY2008ttl!N8/HUNGARY2008ttl!$BE$14</f>
        <v>9.5586972697613171E-3</v>
      </c>
      <c r="O12" s="4">
        <f>HUNGARY2008ttl!O8/HUNGARY2008ttl!$BE$15</f>
        <v>1.4134444923578175E-3</v>
      </c>
      <c r="P12" s="4">
        <f>HUNGARY2008ttl!P8/HUNGARY2008ttl!$BE$16</f>
        <v>7.1344636562027837E-4</v>
      </c>
      <c r="Q12" s="4">
        <f>HUNGARY2008ttl!Q8/HUNGARY2008ttl!$BE$17</f>
        <v>7.216308858019123E-4</v>
      </c>
      <c r="R12" s="4">
        <f>HUNGARY2008ttl!R8/HUNGARY2008ttl!$BE$18</f>
        <v>9.1560982695854673E-4</v>
      </c>
      <c r="S12" s="4">
        <f>HUNGARY2008ttl!S8/HUNGARY2008ttl!$BE$19</f>
        <v>1.6190684878143796E-3</v>
      </c>
      <c r="T12" s="4">
        <f>HUNGARY2008ttl!T8/HUNGARY2008ttl!$BE$20</f>
        <v>2.1160022671452869E-3</v>
      </c>
      <c r="U12" s="4">
        <f>HUNGARY2008ttl!U8/HUNGARY2008ttl!$BE$21</f>
        <v>4.887072381166647E-3</v>
      </c>
      <c r="V12" s="4">
        <f>HUNGARY2008ttl!V8/HUNGARY2008ttl!$BE$22</f>
        <v>9.6875756841850356E-4</v>
      </c>
      <c r="W12" s="4">
        <f>HUNGARY2008ttl!W8/HUNGARY2008ttl!$BE$23</f>
        <v>2.055378667273141E-2</v>
      </c>
      <c r="X12" s="4">
        <f>HUNGARY2008ttl!X8/HUNGARY2008ttl!$BE$24</f>
        <v>3.8623338935457277E-4</v>
      </c>
      <c r="Y12" s="4">
        <f>HUNGARY2008ttl!Y8/HUNGARY2008ttl!$BE$25</f>
        <v>1.3152270410679643E-3</v>
      </c>
      <c r="Z12" s="4">
        <f>HUNGARY2008ttl!Z8/HUNGARY2008ttl!$BE$26</f>
        <v>1.0404032856050722E-3</v>
      </c>
      <c r="AA12" s="4">
        <f>HUNGARY2008ttl!AA8/HUNGARY2008ttl!$BE$27</f>
        <v>1.2380399229664047E-3</v>
      </c>
      <c r="AB12" s="4">
        <f>HUNGARY2008ttl!AB8/HUNGARY2008ttl!$BE$28</f>
        <v>4.3965267438723406E-4</v>
      </c>
      <c r="AC12" s="4">
        <f>HUNGARY2008ttl!AC8/HUNGARY2008ttl!$BE$29</f>
        <v>7.7669902912621332E-4</v>
      </c>
      <c r="AD12" s="4">
        <f>HUNGARY2008ttl!AD8/HUNGARY2008ttl!$BE$30</f>
        <v>4.6526054590570714E-4</v>
      </c>
      <c r="AE12" s="4">
        <f>HUNGARY2008ttl!AE8/HUNGARY2008ttl!$BE$31</f>
        <v>4.8677592081778357E-4</v>
      </c>
      <c r="AF12" s="4">
        <f>HUNGARY2008ttl!AF8/HUNGARY2008ttl!$BE$32</f>
        <v>1.072872823306099E-3</v>
      </c>
      <c r="AG12" s="4">
        <f>HUNGARY2008ttl!AG8/HUNGARY2008ttl!$BE$33</f>
        <v>1.2247302492868659E-3</v>
      </c>
      <c r="AH12" s="4">
        <f>HUNGARY2008ttl!AH8/HUNGARY2008ttl!$BE$34</f>
        <v>3.4039656199472384E-4</v>
      </c>
      <c r="AI12" s="4">
        <f>HUNGARY2008ttl!AI8/HUNGARY2008ttl!$BE$35</f>
        <v>3.5671372784620012E-4</v>
      </c>
      <c r="AJ12" s="4">
        <f>HUNGARY2008ttl!AJ8/HUNGARY2008ttl!$BE$36</f>
        <v>3.7696222300008064E-4</v>
      </c>
      <c r="AK12" s="4">
        <f>HUNGARY2008ttl!AK8/HUNGARY2008ttl!$BE$37</f>
        <v>2.1051892916038034E-4</v>
      </c>
      <c r="AL12" s="4">
        <f>HUNGARY2008ttl!AL8/HUNGARY2008ttl!$BE$38</f>
        <v>3.1717689072668752E-4</v>
      </c>
      <c r="AM12" s="4">
        <f>HUNGARY2008ttl!AM8/HUNGARY2008ttl!$BE$39</f>
        <v>4.5740603460513223E-4</v>
      </c>
      <c r="AN12" s="4">
        <f>HUNGARY2008ttl!AN8/HUNGARY2008ttl!$BE$40</f>
        <v>1.2652283932903766E-3</v>
      </c>
      <c r="AO12" s="4">
        <f>HUNGARY2008ttl!AO8/HUNGARY2008ttl!$BE$41</f>
        <v>6.1626951520131479E-4</v>
      </c>
      <c r="AP12" s="4">
        <f>HUNGARY2008ttl!AP8/HUNGARY2008ttl!$BE$42</f>
        <v>2.721249408424042E-4</v>
      </c>
      <c r="AQ12" s="4">
        <f>HUNGARY2008ttl!AQ8/HUNGARY2008ttl!$BE$43</f>
        <v>2.088236269017866E-3</v>
      </c>
      <c r="AR12" s="4">
        <f>HUNGARY2008ttl!AR8/HUNGARY2008ttl!$BE$44</f>
        <v>1.9950426213650924E-3</v>
      </c>
      <c r="AS12" s="4">
        <f>HUNGARY2008ttl!AS8/HUNGARY2008ttl!$BE$45</f>
        <v>5.606599486267537E-3</v>
      </c>
      <c r="AT12" s="4">
        <f>HUNGARY2008ttl!AT8/HUNGARY2008ttl!$BE$46</f>
        <v>0</v>
      </c>
    </row>
    <row r="13" spans="1:55" x14ac:dyDescent="0.3">
      <c r="A13" s="19" t="s">
        <v>61</v>
      </c>
      <c r="B13" s="4">
        <f>HUNGARY2008ttl!B9/HUNGARY2008ttl!$BE$2</f>
        <v>2.1503495229139779E-3</v>
      </c>
      <c r="C13" s="4">
        <f>HUNGARY2008ttl!C9/HUNGARY2008ttl!$BE$3</f>
        <v>1.6474464579901158E-3</v>
      </c>
      <c r="D13" s="4">
        <f>HUNGARY2008ttl!D9/HUNGARY2008ttl!$BE$4</f>
        <v>3.9277297721916399E-4</v>
      </c>
      <c r="E13" s="4">
        <f>HUNGARY2008ttl!E9/HUNGARY2008ttl!$BE$5</f>
        <v>5.0517807527153315E-4</v>
      </c>
      <c r="F13" s="4">
        <f>HUNGARY2008ttl!F9/HUNGARY2008ttl!$BE$6</f>
        <v>0</v>
      </c>
      <c r="G13" s="4">
        <f>HUNGARY2008ttl!G9/HUNGARY2008ttl!$BE$7</f>
        <v>1.8728518800551564E-3</v>
      </c>
      <c r="H13" s="4">
        <f>HUNGARY2008ttl!H9/HUNGARY2008ttl!$BE$8</f>
        <v>2.5555954088952652E-3</v>
      </c>
      <c r="I13" s="4">
        <f>HUNGARY2008ttl!I9/HUNGARY2008ttl!$BE$9</f>
        <v>0.20715942989724892</v>
      </c>
      <c r="J13" s="4">
        <f>HUNGARY2008ttl!J9/HUNGARY2008ttl!$BE$10</f>
        <v>2.3570610815543134E-3</v>
      </c>
      <c r="K13" s="4">
        <f>HUNGARY2008ttl!K9/HUNGARY2008ttl!$BE$11</f>
        <v>2.2873302696970328E-4</v>
      </c>
      <c r="L13" s="4">
        <f>HUNGARY2008ttl!L9/HUNGARY2008ttl!$BE$12</f>
        <v>2.9295980957612369E-3</v>
      </c>
      <c r="M13" s="4">
        <f>HUNGARY2008ttl!M9/HUNGARY2008ttl!$BE$13</f>
        <v>4.542228530872959E-4</v>
      </c>
      <c r="N13" s="4">
        <f>HUNGARY2008ttl!N9/HUNGARY2008ttl!$BE$14</f>
        <v>3.47242096426459E-3</v>
      </c>
      <c r="O13" s="4">
        <f>HUNGARY2008ttl!O9/HUNGARY2008ttl!$BE$15</f>
        <v>8.0015332279239158E-3</v>
      </c>
      <c r="P13" s="4">
        <f>HUNGARY2008ttl!P9/HUNGARY2008ttl!$BE$16</f>
        <v>2.1193553802249443E-3</v>
      </c>
      <c r="Q13" s="4">
        <f>HUNGARY2008ttl!Q9/HUNGARY2008ttl!$BE$17</f>
        <v>4.9202105850130375E-3</v>
      </c>
      <c r="R13" s="4">
        <f>HUNGARY2008ttl!R9/HUNGARY2008ttl!$BE$18</f>
        <v>1.0168551443626168E-3</v>
      </c>
      <c r="S13" s="4">
        <f>HUNGARY2008ttl!S9/HUNGARY2008ttl!$BE$19</f>
        <v>2.8485866627711641E-3</v>
      </c>
      <c r="T13" s="4">
        <f>HUNGARY2008ttl!T9/HUNGARY2008ttl!$BE$20</f>
        <v>2.985074626865673E-3</v>
      </c>
      <c r="U13" s="4">
        <f>HUNGARY2008ttl!U9/HUNGARY2008ttl!$BE$21</f>
        <v>1.9206652751217598E-3</v>
      </c>
      <c r="V13" s="4">
        <f>HUNGARY2008ttl!V9/HUNGARY2008ttl!$BE$22</f>
        <v>3.2695567934124493E-3</v>
      </c>
      <c r="W13" s="4">
        <f>HUNGARY2008ttl!W9/HUNGARY2008ttl!$BE$23</f>
        <v>5.0432112804184678E-2</v>
      </c>
      <c r="X13" s="4">
        <f>HUNGARY2008ttl!X9/HUNGARY2008ttl!$BE$24</f>
        <v>2.3069615958746102E-3</v>
      </c>
      <c r="Y13" s="4">
        <f>HUNGARY2008ttl!Y9/HUNGARY2008ttl!$BE$25</f>
        <v>9.2065892874757492E-4</v>
      </c>
      <c r="Z13" s="4">
        <f>HUNGARY2008ttl!Z9/HUNGARY2008ttl!$BE$26</f>
        <v>2.1083973765742569E-2</v>
      </c>
      <c r="AA13" s="4">
        <f>HUNGARY2008ttl!AA9/HUNGARY2008ttl!$BE$27</f>
        <v>2.5708433955919665E-3</v>
      </c>
      <c r="AB13" s="4">
        <f>HUNGARY2008ttl!AB9/HUNGARY2008ttl!$BE$28</f>
        <v>1.139100110912379E-3</v>
      </c>
      <c r="AC13" s="4">
        <f>HUNGARY2008ttl!AC9/HUNGARY2008ttl!$BE$29</f>
        <v>1.941747572815533E-3</v>
      </c>
      <c r="AD13" s="4">
        <f>HUNGARY2008ttl!AD9/HUNGARY2008ttl!$BE$30</f>
        <v>4.6526054590570714E-4</v>
      </c>
      <c r="AE13" s="4">
        <f>HUNGARY2008ttl!AE9/HUNGARY2008ttl!$BE$31</f>
        <v>4.4621126074963501E-4</v>
      </c>
      <c r="AF13" s="4">
        <f>HUNGARY2008ttl!AF9/HUNGARY2008ttl!$BE$32</f>
        <v>2.4758603614756129E-4</v>
      </c>
      <c r="AG13" s="4">
        <f>HUNGARY2008ttl!AG9/HUNGARY2008ttl!$BE$33</f>
        <v>9.3017487287610058E-4</v>
      </c>
      <c r="AH13" s="4">
        <f>HUNGARY2008ttl!AH9/HUNGARY2008ttl!$BE$34</f>
        <v>2.2693104132981591E-4</v>
      </c>
      <c r="AI13" s="4">
        <f>HUNGARY2008ttl!AI9/HUNGARY2008ttl!$BE$35</f>
        <v>5.2568338840492648E-4</v>
      </c>
      <c r="AJ13" s="4">
        <f>HUNGARY2008ttl!AJ9/HUNGARY2008ttl!$BE$36</f>
        <v>1.0770349228573734E-4</v>
      </c>
      <c r="AK13" s="4">
        <f>HUNGARY2008ttl!AK9/HUNGARY2008ttl!$BE$37</f>
        <v>1.0525946458019017E-4</v>
      </c>
      <c r="AL13" s="4">
        <f>HUNGARY2008ttl!AL9/HUNGARY2008ttl!$BE$38</f>
        <v>4.2525197941874395E-3</v>
      </c>
      <c r="AM13" s="4">
        <f>HUNGARY2008ttl!AM9/HUNGARY2008ttl!$BE$39</f>
        <v>1.6482389867667696E-3</v>
      </c>
      <c r="AN13" s="4">
        <f>HUNGARY2008ttl!AN9/HUNGARY2008ttl!$BE$40</f>
        <v>1.3434899433908125E-3</v>
      </c>
      <c r="AO13" s="4">
        <f>HUNGARY2008ttl!AO9/HUNGARY2008ttl!$BE$41</f>
        <v>2.0542317173377156E-4</v>
      </c>
      <c r="AP13" s="4">
        <f>HUNGARY2008ttl!AP9/HUNGARY2008ttl!$BE$42</f>
        <v>8.2820634169427363E-5</v>
      </c>
      <c r="AQ13" s="4">
        <f>HUNGARY2008ttl!AQ9/HUNGARY2008ttl!$BE$43</f>
        <v>3.7566155104025109E-4</v>
      </c>
      <c r="AR13" s="4">
        <f>HUNGARY2008ttl!AR9/HUNGARY2008ttl!$BE$44</f>
        <v>4.8364669608850732E-4</v>
      </c>
      <c r="AS13" s="4">
        <f>HUNGARY2008ttl!AS9/HUNGARY2008ttl!$BE$45</f>
        <v>1.4819205690574989E-3</v>
      </c>
      <c r="AT13" s="4">
        <f>HUNGARY2008ttl!AT9/HUNGARY2008ttl!$BE$46</f>
        <v>0</v>
      </c>
    </row>
    <row r="14" spans="1:55" x14ac:dyDescent="0.3">
      <c r="A14" s="19" t="s">
        <v>62</v>
      </c>
      <c r="B14" s="4">
        <f>HUNGARY2008ttl!B10/HUNGARY2008ttl!$BE$2</f>
        <v>2.1722174841639508E-3</v>
      </c>
      <c r="C14" s="4">
        <f>HUNGARY2008ttl!C10/HUNGARY2008ttl!$BE$3</f>
        <v>1.6474464579901158E-3</v>
      </c>
      <c r="D14" s="4">
        <f>HUNGARY2008ttl!D10/HUNGARY2008ttl!$BE$4</f>
        <v>3.9277297721916399E-4</v>
      </c>
      <c r="E14" s="4">
        <f>HUNGARY2008ttl!E10/HUNGARY2008ttl!$BE$5</f>
        <v>1.2629451881788327E-3</v>
      </c>
      <c r="F14" s="4">
        <f>HUNGARY2008ttl!F10/HUNGARY2008ttl!$BE$6</f>
        <v>0</v>
      </c>
      <c r="G14" s="4">
        <f>HUNGARY2008ttl!G10/HUNGARY2008ttl!$BE$7</f>
        <v>2.1369720169860117E-2</v>
      </c>
      <c r="H14" s="4">
        <f>HUNGARY2008ttl!H10/HUNGARY2008ttl!$BE$8</f>
        <v>6.0527259684361543E-3</v>
      </c>
      <c r="I14" s="4">
        <f>HUNGARY2008ttl!I10/HUNGARY2008ttl!$BE$9</f>
        <v>1.9887305270135897E-2</v>
      </c>
      <c r="J14" s="4">
        <f>HUNGARY2008ttl!J10/HUNGARY2008ttl!$BE$10</f>
        <v>0.31665432015623945</v>
      </c>
      <c r="K14" s="4">
        <f>HUNGARY2008ttl!K10/HUNGARY2008ttl!$BE$11</f>
        <v>3.846873635399555E-4</v>
      </c>
      <c r="L14" s="4">
        <f>HUNGARY2008ttl!L10/HUNGARY2008ttl!$BE$12</f>
        <v>8.9352741920717717E-3</v>
      </c>
      <c r="M14" s="4">
        <f>HUNGARY2008ttl!M10/HUNGARY2008ttl!$BE$13</f>
        <v>7.2959545777146898E-3</v>
      </c>
      <c r="N14" s="4">
        <f>HUNGARY2008ttl!N10/HUNGARY2008ttl!$BE$14</f>
        <v>1.184820559784786E-2</v>
      </c>
      <c r="O14" s="4">
        <f>HUNGARY2008ttl!O10/HUNGARY2008ttl!$BE$15</f>
        <v>6.2047817545877069E-3</v>
      </c>
      <c r="P14" s="4">
        <f>HUNGARY2008ttl!P10/HUNGARY2008ttl!$BE$16</f>
        <v>1.321974148061104E-3</v>
      </c>
      <c r="Q14" s="4">
        <f>HUNGARY2008ttl!Q10/HUNGARY2008ttl!$BE$17</f>
        <v>2.5913109081068665E-3</v>
      </c>
      <c r="R14" s="4">
        <f>HUNGARY2008ttl!R10/HUNGARY2008ttl!$BE$18</f>
        <v>3.4379388214164659E-3</v>
      </c>
      <c r="S14" s="4">
        <f>HUNGARY2008ttl!S10/HUNGARY2008ttl!$BE$19</f>
        <v>9.9944002142526734E-3</v>
      </c>
      <c r="T14" s="4">
        <f>HUNGARY2008ttl!T10/HUNGARY2008ttl!$BE$20</f>
        <v>2.7583600982429633E-3</v>
      </c>
      <c r="U14" s="4">
        <f>HUNGARY2008ttl!U10/HUNGARY2008ttl!$BE$21</f>
        <v>1.587361105903233E-3</v>
      </c>
      <c r="V14" s="4">
        <f>HUNGARY2008ttl!V10/HUNGARY2008ttl!$BE$22</f>
        <v>1.8164204407846939E-3</v>
      </c>
      <c r="W14" s="4">
        <f>HUNGARY2008ttl!W10/HUNGARY2008ttl!$BE$23</f>
        <v>9.0686831930861956E-3</v>
      </c>
      <c r="X14" s="4">
        <f>HUNGARY2008ttl!X10/HUNGARY2008ttl!$BE$24</f>
        <v>1.7954633234861218E-3</v>
      </c>
      <c r="Y14" s="4">
        <f>HUNGARY2008ttl!Y10/HUNGARY2008ttl!$BE$25</f>
        <v>1.3152270410679643E-3</v>
      </c>
      <c r="Z14" s="4">
        <f>HUNGARY2008ttl!Z10/HUNGARY2008ttl!$BE$26</f>
        <v>9.8292244109650481E-4</v>
      </c>
      <c r="AA14" s="4">
        <f>HUNGARY2008ttl!AA10/HUNGARY2008ttl!$BE$27</f>
        <v>1.3233271176596459E-2</v>
      </c>
      <c r="AB14" s="4">
        <f>HUNGARY2008ttl!AB10/HUNGARY2008ttl!$BE$28</f>
        <v>1.4088869792863636E-3</v>
      </c>
      <c r="AC14" s="4">
        <f>HUNGARY2008ttl!AC10/HUNGARY2008ttl!$BE$29</f>
        <v>7.7669902912621332E-4</v>
      </c>
      <c r="AD14" s="4">
        <f>HUNGARY2008ttl!AD10/HUNGARY2008ttl!$BE$30</f>
        <v>8.5297766749379655E-4</v>
      </c>
      <c r="AE14" s="4">
        <f>HUNGARY2008ttl!AE10/HUNGARY2008ttl!$BE$31</f>
        <v>2.7178322245659586E-3</v>
      </c>
      <c r="AF14" s="4">
        <f>HUNGARY2008ttl!AF10/HUNGARY2008ttl!$BE$32</f>
        <v>6.3547082611207402E-3</v>
      </c>
      <c r="AG14" s="4">
        <f>HUNGARY2008ttl!AG10/HUNGARY2008ttl!$BE$33</f>
        <v>2.3254371821902517E-3</v>
      </c>
      <c r="AH14" s="4">
        <f>HUNGARY2008ttl!AH10/HUNGARY2008ttl!$BE$34</f>
        <v>9.8885201259467287E-2</v>
      </c>
      <c r="AI14" s="4">
        <f>HUNGARY2008ttl!AI10/HUNGARY2008ttl!$BE$35</f>
        <v>1.4080805046560532E-3</v>
      </c>
      <c r="AJ14" s="4">
        <f>HUNGARY2008ttl!AJ10/HUNGARY2008ttl!$BE$36</f>
        <v>3.6080669915722007E-3</v>
      </c>
      <c r="AK14" s="4">
        <f>HUNGARY2008ttl!AK10/HUNGARY2008ttl!$BE$37</f>
        <v>9.5873828988456544E-3</v>
      </c>
      <c r="AL14" s="4">
        <f>HUNGARY2008ttl!AL10/HUNGARY2008ttl!$BE$38</f>
        <v>4.0763104104503912E-3</v>
      </c>
      <c r="AM14" s="4">
        <f>HUNGARY2008ttl!AM10/HUNGARY2008ttl!$BE$39</f>
        <v>5.567735524676265E-3</v>
      </c>
      <c r="AN14" s="4">
        <f>HUNGARY2008ttl!AN10/HUNGARY2008ttl!$BE$40</f>
        <v>6.3391855581352895E-3</v>
      </c>
      <c r="AO14" s="4">
        <f>HUNGARY2008ttl!AO10/HUNGARY2008ttl!$BE$41</f>
        <v>5.6833744179676801E-3</v>
      </c>
      <c r="AP14" s="4">
        <f>HUNGARY2008ttl!AP10/HUNGARY2008ttl!$BE$42</f>
        <v>3.2536677709417896E-3</v>
      </c>
      <c r="AQ14" s="4">
        <f>HUNGARY2008ttl!AQ10/HUNGARY2008ttl!$BE$43</f>
        <v>1.6241837647916737E-3</v>
      </c>
      <c r="AR14" s="4">
        <f>HUNGARY2008ttl!AR10/HUNGARY2008ttl!$BE$44</f>
        <v>4.0203131612357168E-3</v>
      </c>
      <c r="AS14" s="4">
        <f>HUNGARY2008ttl!AS10/HUNGARY2008ttl!$BE$45</f>
        <v>4.1493775933609967E-3</v>
      </c>
      <c r="AT14" s="4">
        <f>HUNGARY2008ttl!AT10/HUNGARY2008ttl!$BE$46</f>
        <v>0</v>
      </c>
    </row>
    <row r="15" spans="1:55" x14ac:dyDescent="0.3">
      <c r="A15" s="19" t="s">
        <v>63</v>
      </c>
      <c r="B15" s="4">
        <f>HUNGARY2008ttl!B11/HUNGARY2008ttl!$BE$2</f>
        <v>3.2583262262459257E-2</v>
      </c>
      <c r="C15" s="4">
        <f>HUNGARY2008ttl!C11/HUNGARY2008ttl!$BE$3</f>
        <v>3.9538714991762772E-2</v>
      </c>
      <c r="D15" s="4">
        <f>HUNGARY2008ttl!D11/HUNGARY2008ttl!$BE$4</f>
        <v>3.181461115475228E-2</v>
      </c>
      <c r="E15" s="4">
        <f>HUNGARY2008ttl!E11/HUNGARY2008ttl!$BE$5</f>
        <v>4.0919424096994179E-2</v>
      </c>
      <c r="F15" s="4">
        <f>HUNGARY2008ttl!F11/HUNGARY2008ttl!$BE$6</f>
        <v>3.2901833872707661E-2</v>
      </c>
      <c r="G15" s="4">
        <f>HUNGARY2008ttl!G11/HUNGARY2008ttl!$BE$7</f>
        <v>1.0551084950640405E-2</v>
      </c>
      <c r="H15" s="4">
        <f>HUNGARY2008ttl!H11/HUNGARY2008ttl!$BE$8</f>
        <v>6.1423959827833566E-3</v>
      </c>
      <c r="I15" s="4">
        <f>HUNGARY2008ttl!I11/HUNGARY2008ttl!$BE$9</f>
        <v>1.0473980775604906E-2</v>
      </c>
      <c r="J15" s="4">
        <f>HUNGARY2008ttl!J11/HUNGARY2008ttl!$BE$10</f>
        <v>7.0375109434978773E-3</v>
      </c>
      <c r="K15" s="4">
        <f>HUNGARY2008ttl!K11/HUNGARY2008ttl!$BE$11</f>
        <v>9.3468632384437825E-2</v>
      </c>
      <c r="L15" s="4">
        <f>HUNGARY2008ttl!L11/HUNGARY2008ttl!$BE$12</f>
        <v>0.15726448777808288</v>
      </c>
      <c r="M15" s="4">
        <f>HUNGARY2008ttl!M11/HUNGARY2008ttl!$BE$13</f>
        <v>1.0645848119233497E-2</v>
      </c>
      <c r="N15" s="4">
        <f>HUNGARY2008ttl!N11/HUNGARY2008ttl!$BE$14</f>
        <v>1.5912082880201475E-2</v>
      </c>
      <c r="O15" s="4">
        <f>HUNGARY2008ttl!O11/HUNGARY2008ttl!$BE$15</f>
        <v>2.9179243926980028E-2</v>
      </c>
      <c r="P15" s="4">
        <f>HUNGARY2008ttl!P11/HUNGARY2008ttl!$BE$16</f>
        <v>4.2240221588047661E-2</v>
      </c>
      <c r="Q15" s="4">
        <f>HUNGARY2008ttl!Q11/HUNGARY2008ttl!$BE$17</f>
        <v>5.4450330474144285E-3</v>
      </c>
      <c r="R15" s="4">
        <f>HUNGARY2008ttl!R11/HUNGARY2008ttl!$BE$18</f>
        <v>2.6896038666907309E-3</v>
      </c>
      <c r="S15" s="4">
        <f>HUNGARY2008ttl!S11/HUNGARY2008ttl!$BE$19</f>
        <v>6.2449784529983211E-3</v>
      </c>
      <c r="T15" s="4">
        <f>HUNGARY2008ttl!T11/HUNGARY2008ttl!$BE$20</f>
        <v>5.7056489703381846E-3</v>
      </c>
      <c r="U15" s="4">
        <f>HUNGARY2008ttl!U11/HUNGARY2008ttl!$BE$21</f>
        <v>3.233050441419708E-3</v>
      </c>
      <c r="V15" s="4">
        <f>HUNGARY2008ttl!V11/HUNGARY2008ttl!$BE$22</f>
        <v>5.2070719302494562E-3</v>
      </c>
      <c r="W15" s="4">
        <f>HUNGARY2008ttl!W11/HUNGARY2008ttl!$BE$23</f>
        <v>7.0502615419604292E-3</v>
      </c>
      <c r="X15" s="4">
        <f>HUNGARY2008ttl!X11/HUNGARY2008ttl!$BE$24</f>
        <v>3.3393530068791297E-2</v>
      </c>
      <c r="Y15" s="4">
        <f>HUNGARY2008ttl!Y11/HUNGARY2008ttl!$BE$25</f>
        <v>2.2293098346101995E-2</v>
      </c>
      <c r="Z15" s="4">
        <f>HUNGARY2008ttl!Z11/HUNGARY2008ttl!$BE$26</f>
        <v>2.1434606917244827E-2</v>
      </c>
      <c r="AA15" s="4">
        <f>HUNGARY2008ttl!AA11/HUNGARY2008ttl!$BE$27</f>
        <v>1.6825115397548374E-2</v>
      </c>
      <c r="AB15" s="4">
        <f>HUNGARY2008ttl!AB11/HUNGARY2008ttl!$BE$28</f>
        <v>0.11644800607520059</v>
      </c>
      <c r="AC15" s="4">
        <f>HUNGARY2008ttl!AC11/HUNGARY2008ttl!$BE$29</f>
        <v>0.17902912621359215</v>
      </c>
      <c r="AD15" s="4">
        <f>HUNGARY2008ttl!AD11/HUNGARY2008ttl!$BE$30</f>
        <v>0.19657258064516128</v>
      </c>
      <c r="AE15" s="4">
        <f>HUNGARY2008ttl!AE11/HUNGARY2008ttl!$BE$31</f>
        <v>3.5453512899561904E-2</v>
      </c>
      <c r="AF15" s="4">
        <f>HUNGARY2008ttl!AF11/HUNGARY2008ttl!$BE$32</f>
        <v>9.9859701246183055E-3</v>
      </c>
      <c r="AG15" s="4">
        <f>HUNGARY2008ttl!AG11/HUNGARY2008ttl!$BE$33</f>
        <v>5.4725288354210587E-3</v>
      </c>
      <c r="AH15" s="4">
        <f>HUNGARY2008ttl!AH11/HUNGARY2008ttl!$BE$34</f>
        <v>2.4395086942955208E-3</v>
      </c>
      <c r="AI15" s="4">
        <f>HUNGARY2008ttl!AI11/HUNGARY2008ttl!$BE$35</f>
        <v>2.4969960949234012E-3</v>
      </c>
      <c r="AJ15" s="4">
        <f>HUNGARY2008ttl!AJ11/HUNGARY2008ttl!$BE$36</f>
        <v>3.877325722286544E-3</v>
      </c>
      <c r="AK15" s="4">
        <f>HUNGARY2008ttl!AK11/HUNGARY2008ttl!$BE$37</f>
        <v>4.5612434651415741E-3</v>
      </c>
      <c r="AL15" s="4">
        <f>HUNGARY2008ttl!AL11/HUNGARY2008ttl!$BE$38</f>
        <v>5.8736461245682868E-3</v>
      </c>
      <c r="AM15" s="4">
        <f>HUNGARY2008ttl!AM11/HUNGARY2008ttl!$BE$39</f>
        <v>7.846879386760458E-3</v>
      </c>
      <c r="AN15" s="4">
        <f>HUNGARY2008ttl!AN11/HUNGARY2008ttl!$BE$40</f>
        <v>1.2287063365768401E-2</v>
      </c>
      <c r="AO15" s="4">
        <f>HUNGARY2008ttl!AO11/HUNGARY2008ttl!$BE$41</f>
        <v>5.7144991409576453E-3</v>
      </c>
      <c r="AP15" s="4">
        <f>HUNGARY2008ttl!AP11/HUNGARY2008ttl!$BE$42</f>
        <v>4.8035967818267876E-3</v>
      </c>
      <c r="AQ15" s="4">
        <f>HUNGARY2008ttl!AQ11/HUNGARY2008ttl!$BE$43</f>
        <v>8.220358646292553E-3</v>
      </c>
      <c r="AR15" s="4">
        <f>HUNGARY2008ttl!AR11/HUNGARY2008ttl!$BE$44</f>
        <v>9.73338975878121E-3</v>
      </c>
      <c r="AS15" s="4">
        <f>HUNGARY2008ttl!AS11/HUNGARY2008ttl!$BE$45</f>
        <v>7.6565896067970771E-3</v>
      </c>
      <c r="AT15" s="4">
        <f>HUNGARY2008ttl!AT11/HUNGARY2008ttl!$BE$46</f>
        <v>0</v>
      </c>
    </row>
    <row r="16" spans="1:55" x14ac:dyDescent="0.3">
      <c r="A16" s="19" t="s">
        <v>64</v>
      </c>
      <c r="B16" s="4">
        <f>HUNGARY2008ttl!B12/HUNGARY2008ttl!$BE$2</f>
        <v>5.4123204093682327E-2</v>
      </c>
      <c r="C16" s="4">
        <f>HUNGARY2008ttl!C12/HUNGARY2008ttl!$BE$3</f>
        <v>1.6474464579901158E-3</v>
      </c>
      <c r="D16" s="4">
        <f>HUNGARY2008ttl!D12/HUNGARY2008ttl!$BE$4</f>
        <v>4.7132757266299674E-3</v>
      </c>
      <c r="E16" s="4">
        <f>HUNGARY2008ttl!E12/HUNGARY2008ttl!$BE$5</f>
        <v>1.3387218994695627E-2</v>
      </c>
      <c r="F16" s="4">
        <f>HUNGARY2008ttl!F12/HUNGARY2008ttl!$BE$6</f>
        <v>1.6181229773462785E-2</v>
      </c>
      <c r="G16" s="4">
        <f>HUNGARY2008ttl!G12/HUNGARY2008ttl!$BE$7</f>
        <v>2.6405153429788632E-2</v>
      </c>
      <c r="H16" s="4">
        <f>HUNGARY2008ttl!H12/HUNGARY2008ttl!$BE$8</f>
        <v>2.6273314203730271E-2</v>
      </c>
      <c r="I16" s="4">
        <f>HUNGARY2008ttl!I12/HUNGARY2008ttl!$BE$9</f>
        <v>3.0096121975472321E-2</v>
      </c>
      <c r="J16" s="4">
        <f>HUNGARY2008ttl!J12/HUNGARY2008ttl!$BE$10</f>
        <v>2.1078860529328572E-2</v>
      </c>
      <c r="K16" s="4">
        <f>HUNGARY2008ttl!K12/HUNGARY2008ttl!$BE$11</f>
        <v>3.4850595745565698E-2</v>
      </c>
      <c r="L16" s="4">
        <f>HUNGARY2008ttl!L12/HUNGARY2008ttl!$BE$12</f>
        <v>0.16658427172022333</v>
      </c>
      <c r="M16" s="4">
        <f>HUNGARY2008ttl!M12/HUNGARY2008ttl!$BE$13</f>
        <v>8.0567778566359119E-2</v>
      </c>
      <c r="N16" s="4">
        <f>HUNGARY2008ttl!N12/HUNGARY2008ttl!$BE$14</f>
        <v>0.18863640699826376</v>
      </c>
      <c r="O16" s="4">
        <f>HUNGARY2008ttl!O12/HUNGARY2008ttl!$BE$15</f>
        <v>4.8272722916966139E-2</v>
      </c>
      <c r="P16" s="4">
        <f>HUNGARY2008ttl!P12/HUNGARY2008ttl!$BE$16</f>
        <v>9.0859493033406038E-3</v>
      </c>
      <c r="Q16" s="4">
        <f>HUNGARY2008ttl!Q12/HUNGARY2008ttl!$BE$17</f>
        <v>9.6108113427254664E-3</v>
      </c>
      <c r="R16" s="4">
        <f>HUNGARY2008ttl!R12/HUNGARY2008ttl!$BE$18</f>
        <v>7.5273692504765136E-3</v>
      </c>
      <c r="S16" s="4">
        <f>HUNGARY2008ttl!S12/HUNGARY2008ttl!$BE$19</f>
        <v>3.6812504565042731E-2</v>
      </c>
      <c r="T16" s="4">
        <f>HUNGARY2008ttl!T12/HUNGARY2008ttl!$BE$20</f>
        <v>8.8040808615152122E-3</v>
      </c>
      <c r="U16" s="4">
        <f>HUNGARY2008ttl!U12/HUNGARY2008ttl!$BE$21</f>
        <v>7.6534969856804176E-3</v>
      </c>
      <c r="V16" s="4">
        <f>HUNGARY2008ttl!V12/HUNGARY2008ttl!$BE$22</f>
        <v>7.3867764591910882E-3</v>
      </c>
      <c r="W16" s="4">
        <f>HUNGARY2008ttl!W12/HUNGARY2008ttl!$BE$23</f>
        <v>1.7312940641346374E-2</v>
      </c>
      <c r="X16" s="4">
        <f>HUNGARY2008ttl!X12/HUNGARY2008ttl!$BE$24</f>
        <v>7.0357109304049203E-3</v>
      </c>
      <c r="Y16" s="4">
        <f>HUNGARY2008ttl!Y12/HUNGARY2008ttl!$BE$25</f>
        <v>1.0225890244303423E-2</v>
      </c>
      <c r="Z16" s="4">
        <f>HUNGARY2008ttl!Z12/HUNGARY2008ttl!$BE$26</f>
        <v>1.0806398767610694E-2</v>
      </c>
      <c r="AA16" s="4">
        <f>HUNGARY2008ttl!AA12/HUNGARY2008ttl!$BE$27</f>
        <v>7.4985479778681263E-3</v>
      </c>
      <c r="AB16" s="4">
        <f>HUNGARY2008ttl!AB12/HUNGARY2008ttl!$BE$28</f>
        <v>3.8269766884161502E-3</v>
      </c>
      <c r="AC16" s="4">
        <f>HUNGARY2008ttl!AC12/HUNGARY2008ttl!$BE$29</f>
        <v>8.1553398058252392E-3</v>
      </c>
      <c r="AD16" s="4">
        <f>HUNGARY2008ttl!AD12/HUNGARY2008ttl!$BE$30</f>
        <v>3.2568238213399503E-3</v>
      </c>
      <c r="AE16" s="4">
        <f>HUNGARY2008ttl!AE12/HUNGARY2008ttl!$BE$31</f>
        <v>2.8800908648385528E-3</v>
      </c>
      <c r="AF16" s="4">
        <f>HUNGARY2008ttl!AF12/HUNGARY2008ttl!$BE$32</f>
        <v>2.3108030040439056E-3</v>
      </c>
      <c r="AG16" s="4">
        <f>HUNGARY2008ttl!AG12/HUNGARY2008ttl!$BE$33</f>
        <v>5.1934763735582284E-3</v>
      </c>
      <c r="AH16" s="4">
        <f>HUNGARY2008ttl!AH12/HUNGARY2008ttl!$BE$34</f>
        <v>2.8650043967889255E-3</v>
      </c>
      <c r="AI16" s="4">
        <f>HUNGARY2008ttl!AI12/HUNGARY2008ttl!$BE$35</f>
        <v>4.5058576148993701E-4</v>
      </c>
      <c r="AJ16" s="4">
        <f>HUNGARY2008ttl!AJ12/HUNGARY2008ttl!$BE$36</f>
        <v>1.2385901612859793E-3</v>
      </c>
      <c r="AK16" s="4">
        <f>HUNGARY2008ttl!AK12/HUNGARY2008ttl!$BE$37</f>
        <v>1.2543419529139331E-3</v>
      </c>
      <c r="AL16" s="4">
        <f>HUNGARY2008ttl!AL12/HUNGARY2008ttl!$BE$38</f>
        <v>3.9001010267133429E-3</v>
      </c>
      <c r="AM16" s="4">
        <f>HUNGARY2008ttl!AM12/HUNGARY2008ttl!$BE$39</f>
        <v>5.7885522310373635E-3</v>
      </c>
      <c r="AN16" s="4">
        <f>HUNGARY2008ttl!AN12/HUNGARY2008ttl!$BE$40</f>
        <v>7.6435447264758842E-3</v>
      </c>
      <c r="AO16" s="4">
        <f>HUNGARY2008ttl!AO12/HUNGARY2008ttl!$BE$41</f>
        <v>1.4192873683424219E-3</v>
      </c>
      <c r="AP16" s="4">
        <f>HUNGARY2008ttl!AP12/HUNGARY2008ttl!$BE$42</f>
        <v>3.1945101751064842E-3</v>
      </c>
      <c r="AQ16" s="4">
        <f>HUNGARY2008ttl!AQ12/HUNGARY2008ttl!$BE$43</f>
        <v>1.8562100169047701E-2</v>
      </c>
      <c r="AR16" s="4">
        <f>HUNGARY2008ttl!AR12/HUNGARY2008ttl!$BE$44</f>
        <v>9.7938455957922721E-3</v>
      </c>
      <c r="AS16" s="4">
        <f>HUNGARY2008ttl!AS12/HUNGARY2008ttl!$BE$45</f>
        <v>1.1065006915629323E-2</v>
      </c>
      <c r="AT16" s="4">
        <f>HUNGARY2008ttl!AT12/HUNGARY2008ttl!$BE$46</f>
        <v>0</v>
      </c>
    </row>
    <row r="17" spans="1:46" x14ac:dyDescent="0.3">
      <c r="A17" s="19" t="s">
        <v>65</v>
      </c>
      <c r="B17" s="4">
        <f>HUNGARY2008ttl!B13/HUNGARY2008ttl!$BE$2</f>
        <v>3.9872582679116812E-3</v>
      </c>
      <c r="C17" s="4">
        <f>HUNGARY2008ttl!C13/HUNGARY2008ttl!$BE$3</f>
        <v>1.6474464579901158E-3</v>
      </c>
      <c r="D17" s="4">
        <f>HUNGARY2008ttl!D13/HUNGARY2008ttl!$BE$4</f>
        <v>7.8554595443832797E-4</v>
      </c>
      <c r="E17" s="4">
        <f>HUNGARY2008ttl!E13/HUNGARY2008ttl!$BE$5</f>
        <v>7.5776711290729962E-4</v>
      </c>
      <c r="F17" s="4">
        <f>HUNGARY2008ttl!F13/HUNGARY2008ttl!$BE$6</f>
        <v>1.0787486515641857E-3</v>
      </c>
      <c r="G17" s="4">
        <f>HUNGARY2008ttl!G13/HUNGARY2008ttl!$BE$7</f>
        <v>2.6137603161209325E-3</v>
      </c>
      <c r="H17" s="4">
        <f>HUNGARY2008ttl!H13/HUNGARY2008ttl!$BE$8</f>
        <v>1.8382352941176468E-3</v>
      </c>
      <c r="I17" s="4">
        <f>HUNGARY2008ttl!I13/HUNGARY2008ttl!$BE$9</f>
        <v>1.4584023864766325E-3</v>
      </c>
      <c r="J17" s="4">
        <f>HUNGARY2008ttl!J13/HUNGARY2008ttl!$BE$10</f>
        <v>1.1785305407771567E-3</v>
      </c>
      <c r="K17" s="4">
        <f>HUNGARY2008ttl!K13/HUNGARY2008ttl!$BE$11</f>
        <v>1.3931920733609199E-3</v>
      </c>
      <c r="L17" s="4">
        <f>HUNGARY2008ttl!L13/HUNGARY2008ttl!$BE$12</f>
        <v>6.53666575116726E-3</v>
      </c>
      <c r="M17" s="4">
        <f>HUNGARY2008ttl!M13/HUNGARY2008ttl!$BE$13</f>
        <v>6.4755145493257615E-2</v>
      </c>
      <c r="N17" s="4">
        <f>HUNGARY2008ttl!N13/HUNGARY2008ttl!$BE$14</f>
        <v>6.8876042203270173E-3</v>
      </c>
      <c r="O17" s="4">
        <f>HUNGARY2008ttl!O13/HUNGARY2008ttl!$BE$15</f>
        <v>1.9884049638254045E-3</v>
      </c>
      <c r="P17" s="4">
        <f>HUNGARY2008ttl!P13/HUNGARY2008ttl!$BE$16</f>
        <v>1.7836159140506959E-3</v>
      </c>
      <c r="Q17" s="4">
        <f>HUNGARY2008ttl!Q13/HUNGARY2008ttl!$BE$17</f>
        <v>6.7242877995178174E-4</v>
      </c>
      <c r="R17" s="4">
        <f>HUNGARY2008ttl!R13/HUNGARY2008ttl!$BE$18</f>
        <v>1.078482728869442E-3</v>
      </c>
      <c r="S17" s="4">
        <f>HUNGARY2008ttl!S13/HUNGARY2008ttl!$BE$19</f>
        <v>1.9355781170111756E-3</v>
      </c>
      <c r="T17" s="4">
        <f>HUNGARY2008ttl!T13/HUNGARY2008ttl!$BE$20</f>
        <v>8.312866049499342E-4</v>
      </c>
      <c r="U17" s="4">
        <f>HUNGARY2008ttl!U13/HUNGARY2008ttl!$BE$21</f>
        <v>1.1540656859191484E-3</v>
      </c>
      <c r="V17" s="4">
        <f>HUNGARY2008ttl!V13/HUNGARY2008ttl!$BE$22</f>
        <v>6.0547348026156471E-4</v>
      </c>
      <c r="W17" s="4">
        <f>HUNGARY2008ttl!W13/HUNGARY2008ttl!$BE$23</f>
        <v>1.2224243802592678E-3</v>
      </c>
      <c r="X17" s="4">
        <f>HUNGARY2008ttl!X13/HUNGARY2008ttl!$BE$24</f>
        <v>5.74130713905446E-4</v>
      </c>
      <c r="Y17" s="4">
        <f>HUNGARY2008ttl!Y13/HUNGARY2008ttl!$BE$25</f>
        <v>6.5761352053398216E-4</v>
      </c>
      <c r="Z17" s="4">
        <f>HUNGARY2008ttl!Z13/HUNGARY2008ttl!$BE$26</f>
        <v>8.0473182311994529E-4</v>
      </c>
      <c r="AA17" s="4">
        <f>HUNGARY2008ttl!AA13/HUNGARY2008ttl!$BE$27</f>
        <v>8.9261150001528446E-4</v>
      </c>
      <c r="AB17" s="4">
        <f>HUNGARY2008ttl!AB13/HUNGARY2008ttl!$BE$28</f>
        <v>4.9960531180367497E-4</v>
      </c>
      <c r="AC17" s="4">
        <f>HUNGARY2008ttl!AC13/HUNGARY2008ttl!$BE$29</f>
        <v>1.5533980582524266E-3</v>
      </c>
      <c r="AD17" s="4">
        <f>HUNGARY2008ttl!AD13/HUNGARY2008ttl!$BE$30</f>
        <v>1.08560794044665E-3</v>
      </c>
      <c r="AE17" s="4">
        <f>HUNGARY2008ttl!AE13/HUNGARY2008ttl!$BE$31</f>
        <v>3.6508194061333772E-4</v>
      </c>
      <c r="AF17" s="4">
        <f>HUNGARY2008ttl!AF13/HUNGARY2008ttl!$BE$32</f>
        <v>2.4758603614756129E-4</v>
      </c>
      <c r="AG17" s="4">
        <f>HUNGARY2008ttl!AG13/HUNGARY2008ttl!$BE$33</f>
        <v>7.4413989830088051E-4</v>
      </c>
      <c r="AH17" s="4">
        <f>HUNGARY2008ttl!AH13/HUNGARY2008ttl!$BE$34</f>
        <v>5.1059484299208582E-4</v>
      </c>
      <c r="AI17" s="4">
        <f>HUNGARY2008ttl!AI13/HUNGARY2008ttl!$BE$35</f>
        <v>2.8161610093121065E-4</v>
      </c>
      <c r="AJ17" s="4">
        <f>HUNGARY2008ttl!AJ13/HUNGARY2008ttl!$BE$36</f>
        <v>5.3851746142868668E-4</v>
      </c>
      <c r="AK17" s="4">
        <f>HUNGARY2008ttl!AK13/HUNGARY2008ttl!$BE$37</f>
        <v>2.8946352759552294E-4</v>
      </c>
      <c r="AL17" s="4">
        <f>HUNGARY2008ttl!AL13/HUNGARY2008ttl!$BE$38</f>
        <v>3.6416605972323381E-4</v>
      </c>
      <c r="AM17" s="4">
        <f>HUNGARY2008ttl!AM13/HUNGARY2008ttl!$BE$39</f>
        <v>1.2460371287519121E-3</v>
      </c>
      <c r="AN17" s="4">
        <f>HUNGARY2008ttl!AN13/HUNGARY2008ttl!$BE$40</f>
        <v>8.0870268437116858E-4</v>
      </c>
      <c r="AO17" s="4">
        <f>HUNGARY2008ttl!AO13/HUNGARY2008ttl!$BE$41</f>
        <v>3.5482184208560547E-4</v>
      </c>
      <c r="AP17" s="4">
        <f>HUNGARY2008ttl!AP13/HUNGARY2008ttl!$BE$42</f>
        <v>3.5494557501183162E-4</v>
      </c>
      <c r="AQ17" s="4">
        <f>HUNGARY2008ttl!AQ13/HUNGARY2008ttl!$BE$43</f>
        <v>4.3709326350448038E-2</v>
      </c>
      <c r="AR17" s="4">
        <f>HUNGARY2008ttl!AR13/HUNGARY2008ttl!$BE$44</f>
        <v>1.4509400882655218E-3</v>
      </c>
      <c r="AS17" s="4">
        <f>HUNGARY2008ttl!AS13/HUNGARY2008ttl!$BE$45</f>
        <v>1.1608377790950407E-3</v>
      </c>
      <c r="AT17" s="4">
        <f>HUNGARY2008ttl!AT13/HUNGARY2008ttl!$BE$46</f>
        <v>0</v>
      </c>
    </row>
    <row r="18" spans="1:46" x14ac:dyDescent="0.3">
      <c r="A18" s="19" t="s">
        <v>66</v>
      </c>
      <c r="B18" s="4">
        <f>HUNGARY2008ttl!B14/HUNGARY2008ttl!$BE$2</f>
        <v>4.7526369116607245E-3</v>
      </c>
      <c r="C18" s="4">
        <f>HUNGARY2008ttl!C14/HUNGARY2008ttl!$BE$3</f>
        <v>4.9423393739703465E-3</v>
      </c>
      <c r="D18" s="4">
        <f>HUNGARY2008ttl!D14/HUNGARY2008ttl!$BE$4</f>
        <v>1.9638648860958196E-3</v>
      </c>
      <c r="E18" s="4">
        <f>HUNGARY2008ttl!E14/HUNGARY2008ttl!$BE$5</f>
        <v>2.2733013387218992E-3</v>
      </c>
      <c r="F18" s="4">
        <f>HUNGARY2008ttl!F14/HUNGARY2008ttl!$BE$6</f>
        <v>3.2362459546925568E-3</v>
      </c>
      <c r="G18" s="4">
        <f>HUNGARY2008ttl!G14/HUNGARY2008ttl!$BE$7</f>
        <v>2.0546488574231477E-2</v>
      </c>
      <c r="H18" s="4">
        <f>HUNGARY2008ttl!H14/HUNGARY2008ttl!$BE$8</f>
        <v>3.1698350071736013E-2</v>
      </c>
      <c r="I18" s="4">
        <f>HUNGARY2008ttl!I14/HUNGARY2008ttl!$BE$9</f>
        <v>3.3145508783559825E-2</v>
      </c>
      <c r="J18" s="4">
        <f>HUNGARY2008ttl!J14/HUNGARY2008ttl!$BE$10</f>
        <v>2.1684961950299685E-2</v>
      </c>
      <c r="K18" s="4">
        <f>HUNGARY2008ttl!K14/HUNGARY2008ttl!$BE$11</f>
        <v>9.0453515210746284E-4</v>
      </c>
      <c r="L18" s="4">
        <f>HUNGARY2008ttl!L14/HUNGARY2008ttl!$BE$12</f>
        <v>1.8035338277030116E-2</v>
      </c>
      <c r="M18" s="4">
        <f>HUNGARY2008ttl!M14/HUNGARY2008ttl!$BE$13</f>
        <v>1.2462739531582681E-2</v>
      </c>
      <c r="N18" s="4">
        <f>HUNGARY2008ttl!N14/HUNGARY2008ttl!$BE$14</f>
        <v>0.11651689466353765</v>
      </c>
      <c r="O18" s="4">
        <f>HUNGARY2008ttl!O14/HUNGARY2008ttl!$BE$15</f>
        <v>1.1427339370418288E-2</v>
      </c>
      <c r="P18" s="4">
        <f>HUNGARY2008ttl!P14/HUNGARY2008ttl!$BE$16</f>
        <v>2.6649320127580985E-3</v>
      </c>
      <c r="Q18" s="4">
        <f>HUNGARY2008ttl!Q14/HUNGARY2008ttl!$BE$17</f>
        <v>1.0119233103176814E-2</v>
      </c>
      <c r="R18" s="4">
        <f>HUNGARY2008ttl!R14/HUNGARY2008ttl!$BE$18</f>
        <v>4.0027116137183003E-2</v>
      </c>
      <c r="S18" s="4">
        <f>HUNGARY2008ttl!S14/HUNGARY2008ttl!$BE$19</f>
        <v>3.8979378180313107E-2</v>
      </c>
      <c r="T18" s="4">
        <f>HUNGARY2008ttl!T14/HUNGARY2008ttl!$BE$20</f>
        <v>1.4226336671075009E-2</v>
      </c>
      <c r="U18" s="4">
        <f>HUNGARY2008ttl!U14/HUNGARY2008ttl!$BE$21</f>
        <v>3.2226346861316292E-2</v>
      </c>
      <c r="V18" s="4">
        <f>HUNGARY2008ttl!V14/HUNGARY2008ttl!$BE$22</f>
        <v>1.0656333252603539E-2</v>
      </c>
      <c r="W18" s="4">
        <f>HUNGARY2008ttl!W14/HUNGARY2008ttl!$BE$23</f>
        <v>4.0482146918353432E-2</v>
      </c>
      <c r="X18" s="4">
        <f>HUNGARY2008ttl!X14/HUNGARY2008ttl!$BE$24</f>
        <v>2.1608192323350419E-3</v>
      </c>
      <c r="Y18" s="4">
        <f>HUNGARY2008ttl!Y14/HUNGARY2008ttl!$BE$25</f>
        <v>1.3678361227106828E-2</v>
      </c>
      <c r="Z18" s="4">
        <f>HUNGARY2008ttl!Z14/HUNGARY2008ttl!$BE$26</f>
        <v>2.2750918256491028E-2</v>
      </c>
      <c r="AA18" s="4">
        <f>HUNGARY2008ttl!AA14/HUNGARY2008ttl!$BE$27</f>
        <v>4.056491303151652E-3</v>
      </c>
      <c r="AB18" s="4">
        <f>HUNGARY2008ttl!AB14/HUNGARY2008ttl!$BE$28</f>
        <v>7.0344427901957449E-3</v>
      </c>
      <c r="AC18" s="4">
        <f>HUNGARY2008ttl!AC14/HUNGARY2008ttl!$BE$29</f>
        <v>1.5533980582524266E-3</v>
      </c>
      <c r="AD18" s="4">
        <f>HUNGARY2008ttl!AD14/HUNGARY2008ttl!$BE$30</f>
        <v>6.9789081885856077E-4</v>
      </c>
      <c r="AE18" s="4">
        <f>HUNGARY2008ttl!AE14/HUNGARY2008ttl!$BE$31</f>
        <v>3.8130780464059716E-3</v>
      </c>
      <c r="AF18" s="4">
        <f>HUNGARY2008ttl!AF14/HUNGARY2008ttl!$BE$32</f>
        <v>1.4855162168853678E-3</v>
      </c>
      <c r="AG18" s="4">
        <f>HUNGARY2008ttl!AG14/HUNGARY2008ttl!$BE$33</f>
        <v>1.7518293439166563E-3</v>
      </c>
      <c r="AH18" s="4">
        <f>HUNGARY2008ttl!AH14/HUNGARY2008ttl!$BE$34</f>
        <v>1.3615862479788954E-3</v>
      </c>
      <c r="AI18" s="4">
        <f>HUNGARY2008ttl!AI14/HUNGARY2008ttl!$BE$35</f>
        <v>6.9465304896365295E-4</v>
      </c>
      <c r="AJ18" s="4">
        <f>HUNGARY2008ttl!AJ14/HUNGARY2008ttl!$BE$36</f>
        <v>3.5003634992864636E-4</v>
      </c>
      <c r="AK18" s="4">
        <f>HUNGARY2008ttl!AK14/HUNGARY2008ttl!$BE$37</f>
        <v>1.9823865829269151E-3</v>
      </c>
      <c r="AL18" s="4">
        <f>HUNGARY2008ttl!AL14/HUNGARY2008ttl!$BE$38</f>
        <v>2.9133284777858705E-3</v>
      </c>
      <c r="AM18" s="4">
        <f>HUNGARY2008ttl!AM14/HUNGARY2008ttl!$BE$39</f>
        <v>3.3043642844750071E-3</v>
      </c>
      <c r="AN18" s="4">
        <f>HUNGARY2008ttl!AN14/HUNGARY2008ttl!$BE$40</f>
        <v>3.2739415125348924E-3</v>
      </c>
      <c r="AO18" s="4">
        <f>HUNGARY2008ttl!AO14/HUNGARY2008ttl!$BE$41</f>
        <v>1.8176838226139787E-3</v>
      </c>
      <c r="AP18" s="4">
        <f>HUNGARY2008ttl!AP14/HUNGARY2008ttl!$BE$42</f>
        <v>3.0761949834358739E-4</v>
      </c>
      <c r="AQ18" s="4">
        <f>HUNGARY2008ttl!AQ14/HUNGARY2008ttl!$BE$43</f>
        <v>5.4249947517871558E-3</v>
      </c>
      <c r="AR18" s="4">
        <f>HUNGARY2008ttl!AR14/HUNGARY2008ttl!$BE$44</f>
        <v>1.4811680067710537E-3</v>
      </c>
      <c r="AS18" s="4">
        <f>HUNGARY2008ttl!AS14/HUNGARY2008ttl!$BE$45</f>
        <v>1.1855364552459989E-3</v>
      </c>
      <c r="AT18" s="4">
        <f>HUNGARY2008ttl!AT14/HUNGARY2008ttl!$BE$46</f>
        <v>0</v>
      </c>
    </row>
    <row r="19" spans="1:46" x14ac:dyDescent="0.3">
      <c r="A19" s="19" t="s">
        <v>67</v>
      </c>
      <c r="B19" s="4">
        <f>HUNGARY2008ttl!B15/HUNGARY2008ttl!$BE$2</f>
        <v>2.4637903008302526E-3</v>
      </c>
      <c r="C19" s="4">
        <f>HUNGARY2008ttl!C15/HUNGARY2008ttl!$BE$3</f>
        <v>3.2948929159802316E-3</v>
      </c>
      <c r="D19" s="4">
        <f>HUNGARY2008ttl!D15/HUNGARY2008ttl!$BE$4</f>
        <v>7.8554595443832797E-4</v>
      </c>
      <c r="E19" s="4">
        <f>HUNGARY2008ttl!E15/HUNGARY2008ttl!$BE$5</f>
        <v>2.045971204849709E-2</v>
      </c>
      <c r="F19" s="4">
        <f>HUNGARY2008ttl!F15/HUNGARY2008ttl!$BE$6</f>
        <v>8.6299892125134853E-3</v>
      </c>
      <c r="G19" s="4">
        <f>HUNGARY2008ttl!G15/HUNGARY2008ttl!$BE$7</f>
        <v>7.3816433074701399E-3</v>
      </c>
      <c r="H19" s="4">
        <f>HUNGARY2008ttl!H15/HUNGARY2008ttl!$BE$8</f>
        <v>2.7797704447632713E-3</v>
      </c>
      <c r="I19" s="4">
        <f>HUNGARY2008ttl!I15/HUNGARY2008ttl!$BE$9</f>
        <v>8.087504143188597E-3</v>
      </c>
      <c r="J19" s="4">
        <f>HUNGARY2008ttl!J15/HUNGARY2008ttl!$BE$10</f>
        <v>1.0775136372819718E-3</v>
      </c>
      <c r="K19" s="4">
        <f>HUNGARY2008ttl!K15/HUNGARY2008ttl!$BE$11</f>
        <v>6.3421430205235895E-4</v>
      </c>
      <c r="L19" s="4">
        <f>HUNGARY2008ttl!L15/HUNGARY2008ttl!$BE$12</f>
        <v>2.783118190973175E-3</v>
      </c>
      <c r="M19" s="4">
        <f>HUNGARY2008ttl!M15/HUNGARY2008ttl!$BE$13</f>
        <v>4.2867281760113549E-3</v>
      </c>
      <c r="N19" s="4">
        <f>HUNGARY2008ttl!N15/HUNGARY2008ttl!$BE$14</f>
        <v>4.8270467250491281E-3</v>
      </c>
      <c r="O19" s="4">
        <f>HUNGARY2008ttl!O15/HUNGARY2008ttl!$BE$15</f>
        <v>0.12570073307460117</v>
      </c>
      <c r="P19" s="4">
        <f>HUNGARY2008ttl!P15/HUNGARY2008ttl!$BE$16</f>
        <v>3.7980527110961881E-3</v>
      </c>
      <c r="Q19" s="4">
        <f>HUNGARY2008ttl!Q15/HUNGARY2008ttl!$BE$17</f>
        <v>2.3124989749561276E-3</v>
      </c>
      <c r="R19" s="4">
        <f>HUNGARY2008ttl!R15/HUNGARY2008ttl!$BE$18</f>
        <v>2.82606494667013E-3</v>
      </c>
      <c r="S19" s="4">
        <f>HUNGARY2008ttl!S15/HUNGARY2008ttl!$BE$19</f>
        <v>9.4831154286270803E-3</v>
      </c>
      <c r="T19" s="4">
        <f>HUNGARY2008ttl!T15/HUNGARY2008ttl!$BE$20</f>
        <v>4.7610051010768956E-3</v>
      </c>
      <c r="U19" s="4">
        <f>HUNGARY2008ttl!U15/HUNGARY2008ttl!$BE$21</f>
        <v>8.6575757954512299E-3</v>
      </c>
      <c r="V19" s="4">
        <f>HUNGARY2008ttl!V15/HUNGARY2008ttl!$BE$22</f>
        <v>3.3906514894647619E-3</v>
      </c>
      <c r="W19" s="4">
        <f>HUNGARY2008ttl!W15/HUNGARY2008ttl!$BE$23</f>
        <v>4.6338412554014106E-3</v>
      </c>
      <c r="X19" s="4">
        <f>HUNGARY2008ttl!X15/HUNGARY2008ttl!$BE$24</f>
        <v>3.423906802927023E-3</v>
      </c>
      <c r="Y19" s="4">
        <f>HUNGARY2008ttl!Y15/HUNGARY2008ttl!$BE$25</f>
        <v>4.1429651793640871E-3</v>
      </c>
      <c r="Z19" s="4">
        <f>HUNGARY2008ttl!Z15/HUNGARY2008ttl!$BE$26</f>
        <v>8.9307988112961367E-2</v>
      </c>
      <c r="AA19" s="4">
        <f>HUNGARY2008ttl!AA15/HUNGARY2008ttl!$BE$27</f>
        <v>3.4267722312230609E-3</v>
      </c>
      <c r="AB19" s="4">
        <f>HUNGARY2008ttl!AB15/HUNGARY2008ttl!$BE$28</f>
        <v>8.4932903006624757E-4</v>
      </c>
      <c r="AC19" s="4">
        <f>HUNGARY2008ttl!AC15/HUNGARY2008ttl!$BE$29</f>
        <v>7.378640776699026E-3</v>
      </c>
      <c r="AD19" s="4">
        <f>HUNGARY2008ttl!AD15/HUNGARY2008ttl!$BE$30</f>
        <v>7.7543424317617861E-4</v>
      </c>
      <c r="AE19" s="4">
        <f>HUNGARY2008ttl!AE15/HUNGARY2008ttl!$BE$31</f>
        <v>2.8395262047704044E-3</v>
      </c>
      <c r="AF19" s="4">
        <f>HUNGARY2008ttl!AF15/HUNGARY2008ttl!$BE$32</f>
        <v>2.4758603614756129E-4</v>
      </c>
      <c r="AG19" s="4">
        <f>HUNGARY2008ttl!AG15/HUNGARY2008ttl!$BE$33</f>
        <v>1.5192856256976311E-3</v>
      </c>
      <c r="AH19" s="4">
        <f>HUNGARY2008ttl!AH15/HUNGARY2008ttl!$BE$34</f>
        <v>2.2693104132981591E-4</v>
      </c>
      <c r="AI19" s="4">
        <f>HUNGARY2008ttl!AI15/HUNGARY2008ttl!$BE$35</f>
        <v>1.1452388104535899E-3</v>
      </c>
      <c r="AJ19" s="4">
        <f>HUNGARY2008ttl!AJ15/HUNGARY2008ttl!$BE$36</f>
        <v>3.2311047685721202E-4</v>
      </c>
      <c r="AK19" s="4">
        <f>HUNGARY2008ttl!AK15/HUNGARY2008ttl!$BE$37</f>
        <v>2.8946352759552294E-4</v>
      </c>
      <c r="AL19" s="4">
        <f>HUNGARY2008ttl!AL15/HUNGARY2008ttl!$BE$38</f>
        <v>1.8090830063670325E-2</v>
      </c>
      <c r="AM19" s="4">
        <f>HUNGARY2008ttl!AM15/HUNGARY2008ttl!$BE$39</f>
        <v>2.6892320310405188E-3</v>
      </c>
      <c r="AN19" s="4">
        <f>HUNGARY2008ttl!AN15/HUNGARY2008ttl!$BE$40</f>
        <v>1.7217541022095846E-3</v>
      </c>
      <c r="AO19" s="4">
        <f>HUNGARY2008ttl!AO15/HUNGARY2008ttl!$BE$41</f>
        <v>5.0422051243743926E-4</v>
      </c>
      <c r="AP19" s="4">
        <f>HUNGARY2008ttl!AP15/HUNGARY2008ttl!$BE$42</f>
        <v>3.0761949834358739E-4</v>
      </c>
      <c r="AQ19" s="4">
        <f>HUNGARY2008ttl!AQ15/HUNGARY2008ttl!$BE$43</f>
        <v>1.9225032317942258E-3</v>
      </c>
      <c r="AR19" s="4">
        <f>HUNGARY2008ttl!AR15/HUNGARY2008ttl!$BE$44</f>
        <v>5.7433045160510245E-4</v>
      </c>
      <c r="AS19" s="4">
        <f>HUNGARY2008ttl!AS15/HUNGARY2008ttl!$BE$45</f>
        <v>6.6686425607587446E-4</v>
      </c>
      <c r="AT19" s="4">
        <f>HUNGARY2008ttl!AT15/HUNGARY2008ttl!$BE$46</f>
        <v>0</v>
      </c>
    </row>
    <row r="20" spans="1:46" x14ac:dyDescent="0.3">
      <c r="A20" s="19" t="s">
        <v>68</v>
      </c>
      <c r="B20" s="4">
        <f>HUNGARY2008ttl!B16/HUNGARY2008ttl!$BE$2</f>
        <v>1.9608271920808816E-3</v>
      </c>
      <c r="C20" s="4">
        <f>HUNGARY2008ttl!C16/HUNGARY2008ttl!$BE$3</f>
        <v>1.6474464579901158E-3</v>
      </c>
      <c r="D20" s="4">
        <f>HUNGARY2008ttl!D16/HUNGARY2008ttl!$BE$4</f>
        <v>1.9245875883739036E-2</v>
      </c>
      <c r="E20" s="4">
        <f>HUNGARY2008ttl!E16/HUNGARY2008ttl!$BE$5</f>
        <v>1.8186410709775194E-2</v>
      </c>
      <c r="F20" s="4">
        <f>HUNGARY2008ttl!F16/HUNGARY2008ttl!$BE$6</f>
        <v>7.0118662351672065E-2</v>
      </c>
      <c r="G20" s="4">
        <f>HUNGARY2008ttl!G16/HUNGARY2008ttl!$BE$7</f>
        <v>2.7372450554652285E-3</v>
      </c>
      <c r="H20" s="4">
        <f>HUNGARY2008ttl!H16/HUNGARY2008ttl!$BE$8</f>
        <v>1.6140602582496414E-3</v>
      </c>
      <c r="I20" s="4">
        <f>HUNGARY2008ttl!I16/HUNGARY2008ttl!$BE$9</f>
        <v>3.3410672853828302E-2</v>
      </c>
      <c r="J20" s="4">
        <f>HUNGARY2008ttl!J16/HUNGARY2008ttl!$BE$10</f>
        <v>2.3233887803892519E-3</v>
      </c>
      <c r="K20" s="4">
        <f>HUNGARY2008ttl!K16/HUNGARY2008ttl!$BE$11</f>
        <v>3.1606745544904449E-3</v>
      </c>
      <c r="L20" s="4">
        <f>HUNGARY2008ttl!L16/HUNGARY2008ttl!$BE$12</f>
        <v>8.2211846562299708E-3</v>
      </c>
      <c r="M20" s="4">
        <f>HUNGARY2008ttl!M16/HUNGARY2008ttl!$BE$13</f>
        <v>4.2583392476933987E-3</v>
      </c>
      <c r="N20" s="4">
        <f>HUNGARY2008ttl!N16/HUNGARY2008ttl!$BE$14</f>
        <v>1.8125274264018464E-2</v>
      </c>
      <c r="O20" s="4">
        <f>HUNGARY2008ttl!O16/HUNGARY2008ttl!$BE$15</f>
        <v>2.4316036605816691E-2</v>
      </c>
      <c r="P20" s="4">
        <f>HUNGARY2008ttl!P16/HUNGARY2008ttl!$BE$16</f>
        <v>0.32390464999160634</v>
      </c>
      <c r="Q20" s="4">
        <f>HUNGARY2008ttl!Q16/HUNGARY2008ttl!$BE$17</f>
        <v>0.22132747281583648</v>
      </c>
      <c r="R20" s="4">
        <f>HUNGARY2008ttl!R16/HUNGARY2008ttl!$BE$18</f>
        <v>5.6829436855936714E-3</v>
      </c>
      <c r="S20" s="4">
        <f>HUNGARY2008ttl!S16/HUNGARY2008ttl!$BE$19</f>
        <v>0.12275704233924965</v>
      </c>
      <c r="T20" s="4">
        <f>HUNGARY2008ttl!T16/HUNGARY2008ttl!$BE$20</f>
        <v>9.2291706026827916E-2</v>
      </c>
      <c r="U20" s="4">
        <f>HUNGARY2008ttl!U16/HUNGARY2008ttl!$BE$21</f>
        <v>2.6206040304806655E-2</v>
      </c>
      <c r="V20" s="4">
        <f>HUNGARY2008ttl!V16/HUNGARY2008ttl!$BE$22</f>
        <v>7.3746669895858569E-2</v>
      </c>
      <c r="W20" s="4">
        <f>HUNGARY2008ttl!W16/HUNGARY2008ttl!$BE$23</f>
        <v>3.4085740277461911E-2</v>
      </c>
      <c r="X20" s="4">
        <f>HUNGARY2008ttl!X16/HUNGARY2008ttl!$BE$24</f>
        <v>3.8414564130400744E-3</v>
      </c>
      <c r="Y20" s="4">
        <f>HUNGARY2008ttl!Y16/HUNGARY2008ttl!$BE$25</f>
        <v>9.6997994278762364E-3</v>
      </c>
      <c r="Z20" s="4">
        <f>HUNGARY2008ttl!Z16/HUNGARY2008ttl!$BE$26</f>
        <v>4.1662116099809736E-2</v>
      </c>
      <c r="AA20" s="4">
        <f>HUNGARY2008ttl!AA16/HUNGARY2008ttl!$BE$27</f>
        <v>4.3896921713080421E-3</v>
      </c>
      <c r="AB20" s="4">
        <f>HUNGARY2008ttl!AB16/HUNGARY2008ttl!$BE$28</f>
        <v>1.572757521557969E-2</v>
      </c>
      <c r="AC20" s="4">
        <f>HUNGARY2008ttl!AC16/HUNGARY2008ttl!$BE$29</f>
        <v>3.4951456310679599E-3</v>
      </c>
      <c r="AD20" s="4">
        <f>HUNGARY2008ttl!AD16/HUNGARY2008ttl!$BE$30</f>
        <v>7.7543424317617866E-5</v>
      </c>
      <c r="AE20" s="4">
        <f>HUNGARY2008ttl!AE16/HUNGARY2008ttl!$BE$31</f>
        <v>2.4541619341229923E-3</v>
      </c>
      <c r="AF20" s="4">
        <f>HUNGARY2008ttl!AF16/HUNGARY2008ttl!$BE$32</f>
        <v>0</v>
      </c>
      <c r="AG20" s="4">
        <f>HUNGARY2008ttl!AG16/HUNGARY2008ttl!$BE$33</f>
        <v>1.2402331638348009E-4</v>
      </c>
      <c r="AH20" s="4">
        <f>HUNGARY2008ttl!AH16/HUNGARY2008ttl!$BE$34</f>
        <v>8.509914049868096E-5</v>
      </c>
      <c r="AI20" s="4">
        <f>HUNGARY2008ttl!AI16/HUNGARY2008ttl!$BE$35</f>
        <v>9.3872033643736883E-5</v>
      </c>
      <c r="AJ20" s="4">
        <f>HUNGARY2008ttl!AJ16/HUNGARY2008ttl!$BE$36</f>
        <v>2.9618460378577768E-4</v>
      </c>
      <c r="AK20" s="4">
        <f>HUNGARY2008ttl!AK16/HUNGARY2008ttl!$BE$37</f>
        <v>2.6314866145047543E-5</v>
      </c>
      <c r="AL20" s="4">
        <f>HUNGARY2008ttl!AL16/HUNGARY2008ttl!$BE$38</f>
        <v>4.9514836830110657E-3</v>
      </c>
      <c r="AM20" s="4">
        <f>HUNGARY2008ttl!AM16/HUNGARY2008ttl!$BE$39</f>
        <v>8.6670557246731096E-3</v>
      </c>
      <c r="AN20" s="4">
        <f>HUNGARY2008ttl!AN16/HUNGARY2008ttl!$BE$40</f>
        <v>1.7778415464482306E-2</v>
      </c>
      <c r="AO20" s="4">
        <f>HUNGARY2008ttl!AO16/HUNGARY2008ttl!$BE$41</f>
        <v>6.2249445979930786E-6</v>
      </c>
      <c r="AP20" s="4">
        <f>HUNGARY2008ttl!AP16/HUNGARY2008ttl!$BE$42</f>
        <v>3.549455750118316E-5</v>
      </c>
      <c r="AQ20" s="4">
        <f>HUNGARY2008ttl!AQ16/HUNGARY2008ttl!$BE$43</f>
        <v>2.6517285955782427E-4</v>
      </c>
      <c r="AR20" s="4">
        <f>HUNGARY2008ttl!AR16/HUNGARY2008ttl!$BE$44</f>
        <v>1.5113959252765853E-4</v>
      </c>
      <c r="AS20" s="4">
        <f>HUNGARY2008ttl!AS16/HUNGARY2008ttl!$BE$45</f>
        <v>1.7783046828689986E-3</v>
      </c>
      <c r="AT20" s="4">
        <f>HUNGARY2008ttl!AT16/HUNGARY2008ttl!$BE$46</f>
        <v>0</v>
      </c>
    </row>
    <row r="21" spans="1:46" x14ac:dyDescent="0.3">
      <c r="A21" s="19" t="s">
        <v>69</v>
      </c>
      <c r="B21" s="4">
        <f>HUNGARY2008ttl!B17/HUNGARY2008ttl!$BE$2</f>
        <v>2.2742679699971563E-3</v>
      </c>
      <c r="C21" s="4">
        <f>HUNGARY2008ttl!C17/HUNGARY2008ttl!$BE$3</f>
        <v>3.2948929159802316E-3</v>
      </c>
      <c r="D21" s="4">
        <f>HUNGARY2008ttl!D17/HUNGARY2008ttl!$BE$4</f>
        <v>1.9638648860958196E-3</v>
      </c>
      <c r="E21" s="4">
        <f>HUNGARY2008ttl!E17/HUNGARY2008ttl!$BE$5</f>
        <v>3.7888355645364982E-3</v>
      </c>
      <c r="F21" s="4">
        <f>HUNGARY2008ttl!F17/HUNGARY2008ttl!$BE$6</f>
        <v>5.3937432578209281E-3</v>
      </c>
      <c r="G21" s="4">
        <f>HUNGARY2008ttl!G17/HUNGARY2008ttl!$BE$7</f>
        <v>1.9023510122318496E-2</v>
      </c>
      <c r="H21" s="4">
        <f>HUNGARY2008ttl!H17/HUNGARY2008ttl!$BE$8</f>
        <v>1.0805236728837877E-2</v>
      </c>
      <c r="I21" s="4">
        <f>HUNGARY2008ttl!I17/HUNGARY2008ttl!$BE$9</f>
        <v>2.5986078886310906E-2</v>
      </c>
      <c r="J21" s="4">
        <f>HUNGARY2008ttl!J17/HUNGARY2008ttl!$BE$10</f>
        <v>5.9263250050508457E-3</v>
      </c>
      <c r="K21" s="4">
        <f>HUNGARY2008ttl!K17/HUNGARY2008ttl!$BE$11</f>
        <v>2.7447963236364387E-3</v>
      </c>
      <c r="L21" s="4">
        <f>HUNGARY2008ttl!L17/HUNGARY2008ttl!$BE$12</f>
        <v>6.1338460130000898E-3</v>
      </c>
      <c r="M21" s="4">
        <f>HUNGARY2008ttl!M17/HUNGARY2008ttl!$BE$13</f>
        <v>4.2299503193754433E-3</v>
      </c>
      <c r="N21" s="4">
        <f>HUNGARY2008ttl!N17/HUNGARY2008ttl!$BE$14</f>
        <v>3.1022837845572655E-2</v>
      </c>
      <c r="O21" s="4">
        <f>HUNGARY2008ttl!O17/HUNGARY2008ttl!$BE$15</f>
        <v>7.8338364237458703E-3</v>
      </c>
      <c r="P21" s="4">
        <f>HUNGARY2008ttl!P17/HUNGARY2008ttl!$BE$16</f>
        <v>1.8108947456773536E-2</v>
      </c>
      <c r="Q21" s="4">
        <f>HUNGARY2008ttl!Q17/HUNGARY2008ttl!$BE$17</f>
        <v>0.15236252111590373</v>
      </c>
      <c r="R21" s="4">
        <f>HUNGARY2008ttl!R17/HUNGARY2008ttl!$BE$18</f>
        <v>1.5310052779624161E-2</v>
      </c>
      <c r="S21" s="4">
        <f>HUNGARY2008ttl!S17/HUNGARY2008ttl!$BE$19</f>
        <v>3.6763810775935539E-2</v>
      </c>
      <c r="T21" s="4">
        <f>HUNGARY2008ttl!T17/HUNGARY2008ttl!$BE$20</f>
        <v>0.1123559418099377</v>
      </c>
      <c r="U21" s="4">
        <f>HUNGARY2008ttl!U17/HUNGARY2008ttl!$BE$21</f>
        <v>4.7854146095549957E-2</v>
      </c>
      <c r="V21" s="4">
        <f>HUNGARY2008ttl!V17/HUNGARY2008ttl!$BE$22</f>
        <v>2.9668200532816668E-2</v>
      </c>
      <c r="W21" s="4">
        <f>HUNGARY2008ttl!W17/HUNGARY2008ttl!$BE$23</f>
        <v>4.0595860814191503E-2</v>
      </c>
      <c r="X21" s="4">
        <f>HUNGARY2008ttl!X17/HUNGARY2008ttl!$BE$24</f>
        <v>9.0608265394532192E-3</v>
      </c>
      <c r="Y21" s="4">
        <f>HUNGARY2008ttl!Y17/HUNGARY2008ttl!$BE$25</f>
        <v>7.3323907539539013E-3</v>
      </c>
      <c r="Z21" s="4">
        <f>HUNGARY2008ttl!Z17/HUNGARY2008ttl!$BE$26</f>
        <v>4.8002253249104739E-2</v>
      </c>
      <c r="AA21" s="4">
        <f>HUNGARY2008ttl!AA17/HUNGARY2008ttl!$BE$27</f>
        <v>5.7133249778375571E-3</v>
      </c>
      <c r="AB21" s="4">
        <f>HUNGARY2008ttl!AB17/HUNGARY2008ttl!$BE$28</f>
        <v>3.3373634828485492E-3</v>
      </c>
      <c r="AC21" s="4">
        <f>HUNGARY2008ttl!AC17/HUNGARY2008ttl!$BE$29</f>
        <v>2.7184466019417462E-3</v>
      </c>
      <c r="AD21" s="4">
        <f>HUNGARY2008ttl!AD17/HUNGARY2008ttl!$BE$30</f>
        <v>1.8610421836228286E-3</v>
      </c>
      <c r="AE21" s="4">
        <f>HUNGARY2008ttl!AE17/HUNGARY2008ttl!$BE$31</f>
        <v>6.3483693006652613E-3</v>
      </c>
      <c r="AF21" s="4">
        <f>HUNGARY2008ttl!AF17/HUNGARY2008ttl!$BE$32</f>
        <v>1.072872823306099E-3</v>
      </c>
      <c r="AG21" s="4">
        <f>HUNGARY2008ttl!AG17/HUNGARY2008ttl!$BE$33</f>
        <v>1.7673322584645912E-3</v>
      </c>
      <c r="AH21" s="4">
        <f>HUNGARY2008ttl!AH17/HUNGARY2008ttl!$BE$34</f>
        <v>1.0211896859841716E-3</v>
      </c>
      <c r="AI21" s="4">
        <f>HUNGARY2008ttl!AI17/HUNGARY2008ttl!$BE$35</f>
        <v>4.0552718534094334E-3</v>
      </c>
      <c r="AJ21" s="4">
        <f>HUNGARY2008ttl!AJ17/HUNGARY2008ttl!$BE$36</f>
        <v>2.1540698457147467E-3</v>
      </c>
      <c r="AK21" s="4">
        <f>HUNGARY2008ttl!AK17/HUNGARY2008ttl!$BE$37</f>
        <v>7.9821760639977549E-4</v>
      </c>
      <c r="AL21" s="4">
        <f>HUNGARY2008ttl!AL17/HUNGARY2008ttl!$BE$38</f>
        <v>5.2275450508657752E-3</v>
      </c>
      <c r="AM21" s="4">
        <f>HUNGARY2008ttl!AM17/HUNGARY2008ttl!$BE$39</f>
        <v>2.5472784340940984E-3</v>
      </c>
      <c r="AN21" s="4">
        <f>HUNGARY2008ttl!AN17/HUNGARY2008ttl!$BE$40</f>
        <v>3.2348107374846743E-3</v>
      </c>
      <c r="AO21" s="4">
        <f>HUNGARY2008ttl!AO17/HUNGARY2008ttl!$BE$41</f>
        <v>1.4068374791464356E-3</v>
      </c>
      <c r="AP21" s="4">
        <f>HUNGARY2008ttl!AP17/HUNGARY2008ttl!$BE$42</f>
        <v>2.47278750591576E-3</v>
      </c>
      <c r="AQ21" s="4">
        <f>HUNGARY2008ttl!AQ17/HUNGARY2008ttl!$BE$43</f>
        <v>2.7290706796159418E-3</v>
      </c>
      <c r="AR21" s="4">
        <f>HUNGARY2008ttl!AR17/HUNGARY2008ttl!$BE$44</f>
        <v>4.0807689982467806E-3</v>
      </c>
      <c r="AS21" s="4">
        <f>HUNGARY2008ttl!AS17/HUNGARY2008ttl!$BE$45</f>
        <v>2.148784825133373E-3</v>
      </c>
      <c r="AT21" s="4">
        <f>HUNGARY2008ttl!AT17/HUNGARY2008ttl!$BE$46</f>
        <v>0</v>
      </c>
    </row>
    <row r="22" spans="1:46" x14ac:dyDescent="0.3">
      <c r="A22" s="19" t="s">
        <v>70</v>
      </c>
      <c r="B22" s="4">
        <f>HUNGARY2008ttl!B18/HUNGARY2008ttl!$BE$2</f>
        <v>1.122555344165263E-3</v>
      </c>
      <c r="C22" s="4">
        <f>HUNGARY2008ttl!C18/HUNGARY2008ttl!$BE$3</f>
        <v>1.6474464579901158E-3</v>
      </c>
      <c r="D22" s="4">
        <f>HUNGARY2008ttl!D18/HUNGARY2008ttl!$BE$4</f>
        <v>5.1060487038491319E-3</v>
      </c>
      <c r="E22" s="4">
        <f>HUNGARY2008ttl!E18/HUNGARY2008ttl!$BE$5</f>
        <v>2.0207123010861326E-3</v>
      </c>
      <c r="F22" s="4">
        <f>HUNGARY2008ttl!F18/HUNGARY2008ttl!$BE$6</f>
        <v>1.4023732470334414E-2</v>
      </c>
      <c r="G22" s="4">
        <f>HUNGARY2008ttl!G18/HUNGARY2008ttl!$BE$7</f>
        <v>2.1335418853375594E-3</v>
      </c>
      <c r="H22" s="4">
        <f>HUNGARY2008ttl!H18/HUNGARY2008ttl!$BE$8</f>
        <v>2.8694404591104736E-3</v>
      </c>
      <c r="I22" s="4">
        <f>HUNGARY2008ttl!I18/HUNGARY2008ttl!$BE$9</f>
        <v>2.3201856148491878E-3</v>
      </c>
      <c r="J22" s="4">
        <f>HUNGARY2008ttl!J18/HUNGARY2008ttl!$BE$10</f>
        <v>3.0305071048555457E-3</v>
      </c>
      <c r="K22" s="4">
        <f>HUNGARY2008ttl!K18/HUNGARY2008ttl!$BE$11</f>
        <v>1.7882763926722253E-3</v>
      </c>
      <c r="L22" s="4">
        <f>HUNGARY2008ttl!L18/HUNGARY2008ttl!$BE$12</f>
        <v>2.1605785956239124E-3</v>
      </c>
      <c r="M22" s="4">
        <f>HUNGARY2008ttl!M18/HUNGARY2008ttl!$BE$13</f>
        <v>3.0943931866572036E-3</v>
      </c>
      <c r="N22" s="4">
        <f>HUNGARY2008ttl!N18/HUNGARY2008ttl!$BE$14</f>
        <v>1.060805525346765E-2</v>
      </c>
      <c r="O22" s="4">
        <f>HUNGARY2008ttl!O18/HUNGARY2008ttl!$BE$15</f>
        <v>1.8446648459585074E-3</v>
      </c>
      <c r="P22" s="4">
        <f>HUNGARY2008ttl!P18/HUNGARY2008ttl!$BE$16</f>
        <v>1.5737787476917905E-3</v>
      </c>
      <c r="Q22" s="4">
        <f>HUNGARY2008ttl!Q18/HUNGARY2008ttl!$BE$17</f>
        <v>5.3630295376642118E-3</v>
      </c>
      <c r="R22" s="4">
        <f>HUNGARY2008ttl!R18/HUNGARY2008ttl!$BE$18</f>
        <v>0.43472098111114538</v>
      </c>
      <c r="S22" s="4">
        <f>HUNGARY2008ttl!S18/HUNGARY2008ttl!$BE$19</f>
        <v>4.5175662844204233E-2</v>
      </c>
      <c r="T22" s="4">
        <f>HUNGARY2008ttl!T18/HUNGARY2008ttl!$BE$20</f>
        <v>1.8269412431513327E-2</v>
      </c>
      <c r="U22" s="4">
        <f>HUNGARY2008ttl!U18/HUNGARY2008ttl!$BE$21</f>
        <v>4.8220780681690341E-2</v>
      </c>
      <c r="V22" s="4">
        <f>HUNGARY2008ttl!V18/HUNGARY2008ttl!$BE$22</f>
        <v>3.1484620973601363E-3</v>
      </c>
      <c r="W22" s="4">
        <f>HUNGARY2008ttl!W18/HUNGARY2008ttl!$BE$23</f>
        <v>6.5925631112121907E-2</v>
      </c>
      <c r="X22" s="4">
        <f>HUNGARY2008ttl!X18/HUNGARY2008ttl!$BE$24</f>
        <v>5.292441308182929E-3</v>
      </c>
      <c r="Y22" s="4">
        <f>HUNGARY2008ttl!Y18/HUNGARY2008ttl!$BE$25</f>
        <v>5.5568342485121484E-3</v>
      </c>
      <c r="Z22" s="4">
        <f>HUNGARY2008ttl!Z18/HUNGARY2008ttl!$BE$26</f>
        <v>5.7480844508567526E-3</v>
      </c>
      <c r="AA22" s="4">
        <f>HUNGARY2008ttl!AA18/HUNGARY2008ttl!$BE$27</f>
        <v>7.4802066456760305E-3</v>
      </c>
      <c r="AB22" s="4">
        <f>HUNGARY2008ttl!AB18/HUNGARY2008ttl!$BE$28</f>
        <v>3.0076239770581237E-3</v>
      </c>
      <c r="AC22" s="4">
        <f>HUNGARY2008ttl!AC18/HUNGARY2008ttl!$BE$29</f>
        <v>3.1067961165048533E-3</v>
      </c>
      <c r="AD22" s="4">
        <f>HUNGARY2008ttl!AD18/HUNGARY2008ttl!$BE$30</f>
        <v>3.1017369727047144E-3</v>
      </c>
      <c r="AE22" s="4">
        <f>HUNGARY2008ttl!AE18/HUNGARY2008ttl!$BE$31</f>
        <v>5.0705825085185794E-3</v>
      </c>
      <c r="AF22" s="4">
        <f>HUNGARY2008ttl!AF18/HUNGARY2008ttl!$BE$32</f>
        <v>7.7576957992902549E-3</v>
      </c>
      <c r="AG22" s="4">
        <f>HUNGARY2008ttl!AG18/HUNGARY2008ttl!$BE$33</f>
        <v>2.8680391913679768E-3</v>
      </c>
      <c r="AH22" s="4">
        <f>HUNGARY2008ttl!AH18/HUNGARY2008ttl!$BE$34</f>
        <v>3.4323320001134654E-3</v>
      </c>
      <c r="AI22" s="4">
        <f>HUNGARY2008ttl!AI18/HUNGARY2008ttl!$BE$35</f>
        <v>1.4287323520576753E-2</v>
      </c>
      <c r="AJ22" s="4">
        <f>HUNGARY2008ttl!AJ18/HUNGARY2008ttl!$BE$36</f>
        <v>2.280621449150488E-2</v>
      </c>
      <c r="AK22" s="4">
        <f>HUNGARY2008ttl!AK18/HUNGARY2008ttl!$BE$37</f>
        <v>5.6226097329918241E-3</v>
      </c>
      <c r="AL22" s="4">
        <f>HUNGARY2008ttl!AL18/HUNGARY2008ttl!$BE$38</f>
        <v>3.35972558325306E-3</v>
      </c>
      <c r="AM22" s="4">
        <f>HUNGARY2008ttl!AM18/HUNGARY2008ttl!$BE$39</f>
        <v>6.7506821658964338E-3</v>
      </c>
      <c r="AN22" s="4">
        <f>HUNGARY2008ttl!AN18/HUNGARY2008ttl!$BE$40</f>
        <v>6.234836824668041E-3</v>
      </c>
      <c r="AO22" s="4">
        <f>HUNGARY2008ttl!AO18/HUNGARY2008ttl!$BE$41</f>
        <v>2.8385747366848437E-3</v>
      </c>
      <c r="AP22" s="4">
        <f>HUNGARY2008ttl!AP18/HUNGARY2008ttl!$BE$42</f>
        <v>5.0520586843350703E-3</v>
      </c>
      <c r="AQ22" s="4">
        <f>HUNGARY2008ttl!AQ18/HUNGARY2008ttl!$BE$43</f>
        <v>6.3530997602395407E-3</v>
      </c>
      <c r="AR22" s="4">
        <f>HUNGARY2008ttl!AR18/HUNGARY2008ttl!$BE$44</f>
        <v>4.2319085907744393E-3</v>
      </c>
      <c r="AS22" s="4">
        <f>HUNGARY2008ttl!AS18/HUNGARY2008ttl!$BE$45</f>
        <v>6.4216557992491617E-3</v>
      </c>
      <c r="AT22" s="4">
        <f>HUNGARY2008ttl!AT18/HUNGARY2008ttl!$BE$46</f>
        <v>0</v>
      </c>
    </row>
    <row r="23" spans="1:46" x14ac:dyDescent="0.3">
      <c r="A23" s="19" t="s">
        <v>71</v>
      </c>
      <c r="B23" s="4">
        <f>HUNGARY2008ttl!B19/HUNGARY2008ttl!$BE$2</f>
        <v>3.2583262262459263E-3</v>
      </c>
      <c r="C23" s="4">
        <f>HUNGARY2008ttl!C19/HUNGARY2008ttl!$BE$3</f>
        <v>3.2948929159802316E-3</v>
      </c>
      <c r="D23" s="4">
        <f>HUNGARY2008ttl!D19/HUNGARY2008ttl!$BE$4</f>
        <v>2.7494108405341474E-3</v>
      </c>
      <c r="E23" s="4">
        <f>HUNGARY2008ttl!E19/HUNGARY2008ttl!$BE$5</f>
        <v>4.2940136398080314E-3</v>
      </c>
      <c r="F23" s="4">
        <f>HUNGARY2008ttl!F19/HUNGARY2008ttl!$BE$6</f>
        <v>4.8543689320388354E-3</v>
      </c>
      <c r="G23" s="4">
        <f>HUNGARY2008ttl!G19/HUNGARY2008ttl!$BE$7</f>
        <v>4.143599031330822E-3</v>
      </c>
      <c r="H23" s="4">
        <f>HUNGARY2008ttl!H19/HUNGARY2008ttl!$BE$8</f>
        <v>6.5907460545193679E-3</v>
      </c>
      <c r="I23" s="4">
        <f>HUNGARY2008ttl!I19/HUNGARY2008ttl!$BE$9</f>
        <v>5.1706993702353328E-3</v>
      </c>
      <c r="J23" s="4">
        <f>HUNGARY2008ttl!J19/HUNGARY2008ttl!$BE$10</f>
        <v>5.0845174759243045E-3</v>
      </c>
      <c r="K23" s="4">
        <f>HUNGARY2008ttl!K19/HUNGARY2008ttl!$BE$11</f>
        <v>4.9593479029340212E-3</v>
      </c>
      <c r="L23" s="4">
        <f>HUNGARY2008ttl!L19/HUNGARY2008ttl!$BE$12</f>
        <v>5.8958161677194892E-3</v>
      </c>
      <c r="M23" s="4">
        <f>HUNGARY2008ttl!M19/HUNGARY2008ttl!$BE$13</f>
        <v>3.832505322924059E-3</v>
      </c>
      <c r="N23" s="4">
        <f>HUNGARY2008ttl!N19/HUNGARY2008ttl!$BE$14</f>
        <v>8.3185469253811064E-3</v>
      </c>
      <c r="O23" s="4">
        <f>HUNGARY2008ttl!O19/HUNGARY2008ttl!$BE$15</f>
        <v>5.1746442432082807E-3</v>
      </c>
      <c r="P23" s="4">
        <f>HUNGARY2008ttl!P19/HUNGARY2008ttl!$BE$16</f>
        <v>5.3088803088803069E-3</v>
      </c>
      <c r="Q23" s="4">
        <f>HUNGARY2008ttl!Q19/HUNGARY2008ttl!$BE$17</f>
        <v>1.2562937693733289E-2</v>
      </c>
      <c r="R23" s="4">
        <f>HUNGARY2008ttl!R19/HUNGARY2008ttl!$BE$18</f>
        <v>8.0151075621448159E-2</v>
      </c>
      <c r="S23" s="4">
        <f>HUNGARY2008ttl!S19/HUNGARY2008ttl!$BE$19</f>
        <v>9.9944002142526744E-2</v>
      </c>
      <c r="T23" s="4">
        <f>HUNGARY2008ttl!T19/HUNGARY2008ttl!$BE$20</f>
        <v>5.7075382580767074E-2</v>
      </c>
      <c r="U23" s="4">
        <f>HUNGARY2008ttl!U19/HUNGARY2008ttl!$BE$21</f>
        <v>4.2000491623649591E-2</v>
      </c>
      <c r="V23" s="4">
        <f>HUNGARY2008ttl!V19/HUNGARY2008ttl!$BE$22</f>
        <v>2.1191571809154763E-2</v>
      </c>
      <c r="W23" s="4">
        <f>HUNGARY2008ttl!W19/HUNGARY2008ttl!$BE$23</f>
        <v>2.3453491016602233E-2</v>
      </c>
      <c r="X23" s="4">
        <f>HUNGARY2008ttl!X19/HUNGARY2008ttl!$BE$24</f>
        <v>1.5772936522020525E-2</v>
      </c>
      <c r="Y23" s="4">
        <f>HUNGARY2008ttl!Y19/HUNGARY2008ttl!$BE$25</f>
        <v>5.392430868378653E-3</v>
      </c>
      <c r="Z23" s="4">
        <f>HUNGARY2008ttl!Z19/HUNGARY2008ttl!$BE$26</f>
        <v>2.9441688557288289E-2</v>
      </c>
      <c r="AA23" s="4">
        <f>HUNGARY2008ttl!AA19/HUNGARY2008ttl!$BE$27</f>
        <v>5.8172591935927616E-3</v>
      </c>
      <c r="AB23" s="4">
        <f>HUNGARY2008ttl!AB19/HUNGARY2008ttl!$BE$28</f>
        <v>5.1459347115778526E-3</v>
      </c>
      <c r="AC23" s="4">
        <f>HUNGARY2008ttl!AC19/HUNGARY2008ttl!$BE$29</f>
        <v>8.1553398058252392E-3</v>
      </c>
      <c r="AD23" s="4">
        <f>HUNGARY2008ttl!AD19/HUNGARY2008ttl!$BE$30</f>
        <v>3.7996277915632753E-3</v>
      </c>
      <c r="AE23" s="4">
        <f>HUNGARY2008ttl!AE19/HUNGARY2008ttl!$BE$31</f>
        <v>4.2592893071556059E-3</v>
      </c>
      <c r="AF23" s="4">
        <f>HUNGARY2008ttl!AF19/HUNGARY2008ttl!$BE$32</f>
        <v>1.402987538169514E-3</v>
      </c>
      <c r="AG23" s="4">
        <f>HUNGARY2008ttl!AG19/HUNGARY2008ttl!$BE$33</f>
        <v>4.557856877092893E-3</v>
      </c>
      <c r="AH23" s="4">
        <f>HUNGARY2008ttl!AH19/HUNGARY2008ttl!$BE$34</f>
        <v>1.2764871074802144E-3</v>
      </c>
      <c r="AI23" s="4">
        <f>HUNGARY2008ttl!AI19/HUNGARY2008ttl!$BE$35</f>
        <v>9.9316611595073618E-3</v>
      </c>
      <c r="AJ23" s="4">
        <f>HUNGARY2008ttl!AJ19/HUNGARY2008ttl!$BE$36</f>
        <v>3.8234739761436754E-3</v>
      </c>
      <c r="AK23" s="4">
        <f>HUNGARY2008ttl!AK19/HUNGARY2008ttl!$BE$37</f>
        <v>8.5084733868987048E-4</v>
      </c>
      <c r="AL23" s="4">
        <f>HUNGARY2008ttl!AL19/HUNGARY2008ttl!$BE$38</f>
        <v>4.8222634682705632E-3</v>
      </c>
      <c r="AM23" s="4">
        <f>HUNGARY2008ttl!AM19/HUNGARY2008ttl!$BE$39</f>
        <v>4.5504014132269196E-3</v>
      </c>
      <c r="AN23" s="4">
        <f>HUNGARY2008ttl!AN19/HUNGARY2008ttl!$BE$40</f>
        <v>3.6913364464038825E-3</v>
      </c>
      <c r="AO23" s="4">
        <f>HUNGARY2008ttl!AO19/HUNGARY2008ttl!$BE$41</f>
        <v>1.8799332685939096E-3</v>
      </c>
      <c r="AP23" s="4">
        <f>HUNGARY2008ttl!AP19/HUNGARY2008ttl!$BE$42</f>
        <v>7.8088026502602951E-4</v>
      </c>
      <c r="AQ23" s="4">
        <f>HUNGARY2008ttl!AQ19/HUNGARY2008ttl!$BE$43</f>
        <v>1.8120145403117992E-3</v>
      </c>
      <c r="AR23" s="4">
        <f>HUNGARY2008ttl!AR19/HUNGARY2008ttl!$BE$44</f>
        <v>2.3880055619370051E-3</v>
      </c>
      <c r="AS23" s="4">
        <f>HUNGARY2008ttl!AS19/HUNGARY2008ttl!$BE$45</f>
        <v>2.2722782058881646E-3</v>
      </c>
      <c r="AT23" s="4">
        <f>HUNGARY2008ttl!AT19/HUNGARY2008ttl!$BE$46</f>
        <v>0</v>
      </c>
    </row>
    <row r="24" spans="1:46" x14ac:dyDescent="0.3">
      <c r="A24" s="19" t="s">
        <v>72</v>
      </c>
      <c r="B24" s="4">
        <f>HUNGARY2008ttl!B20/HUNGARY2008ttl!$BE$2</f>
        <v>1.0795483537069835E-2</v>
      </c>
      <c r="C24" s="4">
        <f>HUNGARY2008ttl!C20/HUNGARY2008ttl!$BE$3</f>
        <v>1.3179571663920926E-2</v>
      </c>
      <c r="D24" s="4">
        <f>HUNGARY2008ttl!D20/HUNGARY2008ttl!$BE$4</f>
        <v>1.0212097407698264E-2</v>
      </c>
      <c r="E24" s="4">
        <f>HUNGARY2008ttl!E20/HUNGARY2008ttl!$BE$5</f>
        <v>2.4753725688305122E-2</v>
      </c>
      <c r="F24" s="4">
        <f>HUNGARY2008ttl!F20/HUNGARY2008ttl!$BE$6</f>
        <v>1.4023732470334414E-2</v>
      </c>
      <c r="G24" s="4">
        <f>HUNGARY2008ttl!G20/HUNGARY2008ttl!$BE$7</f>
        <v>6.0507522278705058E-3</v>
      </c>
      <c r="H24" s="4">
        <f>HUNGARY2008ttl!H20/HUNGARY2008ttl!$BE$8</f>
        <v>6.007890961262554E-3</v>
      </c>
      <c r="I24" s="4">
        <f>HUNGARY2008ttl!I20/HUNGARY2008ttl!$BE$9</f>
        <v>6.0324825986078886E-3</v>
      </c>
      <c r="J24" s="4">
        <f>HUNGARY2008ttl!J20/HUNGARY2008ttl!$BE$10</f>
        <v>1.5186207825442791E-2</v>
      </c>
      <c r="K24" s="4">
        <f>HUNGARY2008ttl!K20/HUNGARY2008ttl!$BE$11</f>
        <v>4.5954544509367659E-3</v>
      </c>
      <c r="L24" s="4">
        <f>HUNGARY2008ttl!L20/HUNGARY2008ttl!$BE$12</f>
        <v>9.8507735969971585E-3</v>
      </c>
      <c r="M24" s="4">
        <f>HUNGARY2008ttl!M20/HUNGARY2008ttl!$BE$13</f>
        <v>5.3371185237757269E-3</v>
      </c>
      <c r="N24" s="4">
        <f>HUNGARY2008ttl!N20/HUNGARY2008ttl!$BE$14</f>
        <v>1.2649533512678149E-2</v>
      </c>
      <c r="O24" s="4">
        <f>HUNGARY2008ttl!O20/HUNGARY2008ttl!$BE$15</f>
        <v>1.3176177471132196E-2</v>
      </c>
      <c r="P24" s="4">
        <f>HUNGARY2008ttl!P20/HUNGARY2008ttl!$BE$16</f>
        <v>1.5758771193553792E-2</v>
      </c>
      <c r="Q24" s="4">
        <f>HUNGARY2008ttl!Q20/HUNGARY2008ttl!$BE$17</f>
        <v>1.5482262640841026E-2</v>
      </c>
      <c r="R24" s="4">
        <f>HUNGARY2008ttl!R20/HUNGARY2008ttl!$BE$18</f>
        <v>1.6190446844007379E-2</v>
      </c>
      <c r="S24" s="4">
        <f>HUNGARY2008ttl!S20/HUNGARY2008ttl!$BE$19</f>
        <v>3.408565237503957E-2</v>
      </c>
      <c r="T24" s="4">
        <f>HUNGARY2008ttl!T20/HUNGARY2008ttl!$BE$20</f>
        <v>0.11932741356508601</v>
      </c>
      <c r="U24" s="4">
        <f>HUNGARY2008ttl!U20/HUNGARY2008ttl!$BE$21</f>
        <v>0.17355981351631727</v>
      </c>
      <c r="V24" s="4">
        <f>HUNGARY2008ttl!V20/HUNGARY2008ttl!$BE$22</f>
        <v>1.7437636231533063E-2</v>
      </c>
      <c r="W24" s="4">
        <f>HUNGARY2008ttl!W20/HUNGARY2008ttl!$BE$23</f>
        <v>1.8762792813281786E-2</v>
      </c>
      <c r="X24" s="4">
        <f>HUNGARY2008ttl!X20/HUNGARY2008ttl!$BE$24</f>
        <v>1.0094261824483022E-2</v>
      </c>
      <c r="Y24" s="4">
        <f>HUNGARY2008ttl!Y20/HUNGARY2008ttl!$BE$25</f>
        <v>1.2330253510012166E-2</v>
      </c>
      <c r="Z24" s="4">
        <f>HUNGARY2008ttl!Z20/HUNGARY2008ttl!$BE$26</f>
        <v>1.3812646935408776E-2</v>
      </c>
      <c r="AA24" s="4">
        <f>HUNGARY2008ttl!AA20/HUNGARY2008ttl!$BE$27</f>
        <v>1.242013878274692E-2</v>
      </c>
      <c r="AB24" s="4">
        <f>HUNGARY2008ttl!AB20/HUNGARY2008ttl!$BE$28</f>
        <v>5.8054137231587036E-3</v>
      </c>
      <c r="AC24" s="4">
        <f>HUNGARY2008ttl!AC20/HUNGARY2008ttl!$BE$29</f>
        <v>1.941747572815533E-3</v>
      </c>
      <c r="AD24" s="4">
        <f>HUNGARY2008ttl!AD20/HUNGARY2008ttl!$BE$30</f>
        <v>2.4038461538461535E-3</v>
      </c>
      <c r="AE24" s="4">
        <f>HUNGARY2008ttl!AE20/HUNGARY2008ttl!$BE$31</f>
        <v>9.836930066526044E-3</v>
      </c>
      <c r="AF24" s="4">
        <f>HUNGARY2008ttl!AF20/HUNGARY2008ttl!$BE$32</f>
        <v>6.6022942972683021E-4</v>
      </c>
      <c r="AG24" s="4">
        <f>HUNGARY2008ttl!AG20/HUNGARY2008ttl!$BE$33</f>
        <v>2.3564430112861215E-3</v>
      </c>
      <c r="AH24" s="4">
        <f>HUNGARY2008ttl!AH20/HUNGARY2008ttl!$BE$34</f>
        <v>1.4466853884775761E-3</v>
      </c>
      <c r="AI24" s="4">
        <f>HUNGARY2008ttl!AI20/HUNGARY2008ttl!$BE$35</f>
        <v>1.9525382997897271E-3</v>
      </c>
      <c r="AJ24" s="4">
        <f>HUNGARY2008ttl!AJ20/HUNGARY2008ttl!$BE$36</f>
        <v>3.4195858800721603E-3</v>
      </c>
      <c r="AK24" s="4">
        <f>HUNGARY2008ttl!AK20/HUNGARY2008ttl!$BE$37</f>
        <v>1.5876635907512019E-3</v>
      </c>
      <c r="AL24" s="4">
        <f>HUNGARY2008ttl!AL20/HUNGARY2008ttl!$BE$38</f>
        <v>5.6563212179592598E-3</v>
      </c>
      <c r="AM24" s="4">
        <f>HUNGARY2008ttl!AM20/HUNGARY2008ttl!$BE$39</f>
        <v>4.1245406223876582E-3</v>
      </c>
      <c r="AN24" s="4">
        <f>HUNGARY2008ttl!AN20/HUNGARY2008ttl!$BE$40</f>
        <v>3.6522056713536644E-3</v>
      </c>
      <c r="AO24" s="4">
        <f>HUNGARY2008ttl!AO20/HUNGARY2008ttl!$BE$41</f>
        <v>7.5944324095515551E-4</v>
      </c>
      <c r="AP24" s="4">
        <f>HUNGARY2008ttl!AP20/HUNGARY2008ttl!$BE$42</f>
        <v>6.8622811168954107E-4</v>
      </c>
      <c r="AQ24" s="4">
        <f>HUNGARY2008ttl!AQ20/HUNGARY2008ttl!$BE$43</f>
        <v>1.5578905499022177E-3</v>
      </c>
      <c r="AR24" s="4">
        <f>HUNGARY2008ttl!AR20/HUNGARY2008ttl!$BE$44</f>
        <v>1.6323075992987122E-3</v>
      </c>
      <c r="AS24" s="4">
        <f>HUNGARY2008ttl!AS20/HUNGARY2008ttl!$BE$45</f>
        <v>4.6927484686820793E-3</v>
      </c>
      <c r="AT24" s="4">
        <f>HUNGARY2008ttl!AT20/HUNGARY2008ttl!$BE$46</f>
        <v>0</v>
      </c>
    </row>
    <row r="25" spans="1:46" x14ac:dyDescent="0.3">
      <c r="A25" s="19" t="s">
        <v>73</v>
      </c>
      <c r="B25" s="4">
        <f>HUNGARY2008ttl!B21/HUNGARY2008ttl!$BE$2</f>
        <v>2.6095767091634035E-3</v>
      </c>
      <c r="C25" s="4">
        <f>HUNGARY2008ttl!C21/HUNGARY2008ttl!$BE$3</f>
        <v>4.9423393739703465E-3</v>
      </c>
      <c r="D25" s="4">
        <f>HUNGARY2008ttl!D21/HUNGARY2008ttl!$BE$4</f>
        <v>2.3566378633149837E-3</v>
      </c>
      <c r="E25" s="4">
        <f>HUNGARY2008ttl!E21/HUNGARY2008ttl!$BE$5</f>
        <v>4.2940136398080314E-3</v>
      </c>
      <c r="F25" s="4">
        <f>HUNGARY2008ttl!F21/HUNGARY2008ttl!$BE$6</f>
        <v>2.6968716289104641E-3</v>
      </c>
      <c r="G25" s="4">
        <f>HUNGARY2008ttl!G21/HUNGARY2008ttl!$BE$7</f>
        <v>1.9620353029149258E-3</v>
      </c>
      <c r="H25" s="4">
        <f>HUNGARY2008ttl!H21/HUNGARY2008ttl!$BE$8</f>
        <v>5.4698708751793395E-3</v>
      </c>
      <c r="I25" s="4">
        <f>HUNGARY2008ttl!I21/HUNGARY2008ttl!$BE$9</f>
        <v>2.3201856148491878E-3</v>
      </c>
      <c r="J25" s="4">
        <f>HUNGARY2008ttl!J21/HUNGARY2008ttl!$BE$10</f>
        <v>2.3907333827193748E-3</v>
      </c>
      <c r="K25" s="4">
        <f>HUNGARY2008ttl!K21/HUNGARY2008ttl!$BE$11</f>
        <v>8.0056559439396139E-4</v>
      </c>
      <c r="L25" s="4">
        <f>HUNGARY2008ttl!L21/HUNGARY2008ttl!$BE$12</f>
        <v>1.5929689645701724E-3</v>
      </c>
      <c r="M25" s="4">
        <f>HUNGARY2008ttl!M21/HUNGARY2008ttl!$BE$13</f>
        <v>1.5613910574875797E-3</v>
      </c>
      <c r="N25" s="4">
        <f>HUNGARY2008ttl!N21/HUNGARY2008ttl!$BE$14</f>
        <v>9.4823803254917658E-3</v>
      </c>
      <c r="O25" s="4">
        <f>HUNGARY2008ttl!O21/HUNGARY2008ttl!$BE$15</f>
        <v>5.8933448325427648E-3</v>
      </c>
      <c r="P25" s="4">
        <f>HUNGARY2008ttl!P21/HUNGARY2008ttl!$BE$16</f>
        <v>1.1541044149739797E-2</v>
      </c>
      <c r="Q25" s="4">
        <f>HUNGARY2008ttl!Q21/HUNGARY2008ttl!$BE$17</f>
        <v>7.7411313204205131E-3</v>
      </c>
      <c r="R25" s="4">
        <f>HUNGARY2008ttl!R21/HUNGARY2008ttl!$BE$18</f>
        <v>1.2435566159412954E-2</v>
      </c>
      <c r="S25" s="4">
        <f>HUNGARY2008ttl!S21/HUNGARY2008ttl!$BE$19</f>
        <v>1.0286562948895871E-2</v>
      </c>
      <c r="T25" s="4">
        <f>HUNGARY2008ttl!T21/HUNGARY2008ttl!$BE$20</f>
        <v>2.0952201020215389E-2</v>
      </c>
      <c r="U25" s="4">
        <f>HUNGARY2008ttl!U21/HUNGARY2008ttl!$BE$21</f>
        <v>0.17503468446510925</v>
      </c>
      <c r="V25" s="4">
        <f>HUNGARY2008ttl!V21/HUNGARY2008ttl!$BE$22</f>
        <v>2.651973843545653E-2</v>
      </c>
      <c r="W25" s="4">
        <f>HUNGARY2008ttl!W21/HUNGARY2008ttl!$BE$23</f>
        <v>6.2542642710939284E-3</v>
      </c>
      <c r="X25" s="4">
        <f>HUNGARY2008ttl!X21/HUNGARY2008ttl!$BE$24</f>
        <v>2.4113489984028732E-3</v>
      </c>
      <c r="Y25" s="4">
        <f>HUNGARY2008ttl!Y21/HUNGARY2008ttl!$BE$25</f>
        <v>7.4310327820339989E-3</v>
      </c>
      <c r="Z25" s="4">
        <f>HUNGARY2008ttl!Z21/HUNGARY2008ttl!$BE$26</f>
        <v>7.7081812485989051E-3</v>
      </c>
      <c r="AA25" s="4">
        <f>HUNGARY2008ttl!AA21/HUNGARY2008ttl!$BE$27</f>
        <v>1.4853422186898174E-2</v>
      </c>
      <c r="AB25" s="4">
        <f>HUNGARY2008ttl!AB21/HUNGARY2008ttl!$BE$28</f>
        <v>1.4988159354110251E-2</v>
      </c>
      <c r="AC25" s="4">
        <f>HUNGARY2008ttl!AC21/HUNGARY2008ttl!$BE$29</f>
        <v>1.2815533980582518E-2</v>
      </c>
      <c r="AD25" s="4">
        <f>HUNGARY2008ttl!AD21/HUNGARY2008ttl!$BE$30</f>
        <v>1.9385856079404465E-3</v>
      </c>
      <c r="AE25" s="4">
        <f>HUNGARY2008ttl!AE21/HUNGARY2008ttl!$BE$31</f>
        <v>7.9303910433230571E-3</v>
      </c>
      <c r="AF25" s="4">
        <f>HUNGARY2008ttl!AF21/HUNGARY2008ttl!$BE$32</f>
        <v>1.4855162168853678E-3</v>
      </c>
      <c r="AG25" s="4">
        <f>HUNGARY2008ttl!AG21/HUNGARY2008ttl!$BE$33</f>
        <v>7.9064864194468547E-4</v>
      </c>
      <c r="AH25" s="4">
        <f>HUNGARY2008ttl!AH21/HUNGARY2008ttl!$BE$34</f>
        <v>4.5386208265963182E-4</v>
      </c>
      <c r="AI25" s="4">
        <f>HUNGARY2008ttl!AI21/HUNGARY2008ttl!$BE$35</f>
        <v>1.4080805046560532E-3</v>
      </c>
      <c r="AJ25" s="4">
        <f>HUNGARY2008ttl!AJ21/HUNGARY2008ttl!$BE$36</f>
        <v>1.4539971458574542E-3</v>
      </c>
      <c r="AK25" s="4">
        <f>HUNGARY2008ttl!AK21/HUNGARY2008ttl!$BE$37</f>
        <v>6.2278516543279186E-4</v>
      </c>
      <c r="AL25" s="4">
        <f>HUNGARY2008ttl!AL21/HUNGARY2008ttl!$BE$38</f>
        <v>1.9324295749829662E-3</v>
      </c>
      <c r="AM25" s="4">
        <f>HUNGARY2008ttl!AM21/HUNGARY2008ttl!$BE$39</f>
        <v>1.8611693821864003E-3</v>
      </c>
      <c r="AN25" s="4">
        <f>HUNGARY2008ttl!AN21/HUNGARY2008ttl!$BE$40</f>
        <v>3.8869903216549716E-3</v>
      </c>
      <c r="AO25" s="4">
        <f>HUNGARY2008ttl!AO21/HUNGARY2008ttl!$BE$41</f>
        <v>8.7149224371903093E-4</v>
      </c>
      <c r="AP25" s="4">
        <f>HUNGARY2008ttl!AP21/HUNGARY2008ttl!$BE$42</f>
        <v>3.9044013251301476E-4</v>
      </c>
      <c r="AQ25" s="4">
        <f>HUNGARY2008ttl!AQ21/HUNGARY2008ttl!$BE$43</f>
        <v>8.0656744782171548E-4</v>
      </c>
      <c r="AR25" s="4">
        <f>HUNGARY2008ttl!AR21/HUNGARY2008ttl!$BE$44</f>
        <v>1.0882050661991415E-3</v>
      </c>
      <c r="AS25" s="4">
        <f>HUNGARY2008ttl!AS21/HUNGARY2008ttl!$BE$45</f>
        <v>2.4204702627939148E-3</v>
      </c>
      <c r="AT25" s="4">
        <f>HUNGARY2008ttl!AT21/HUNGARY2008ttl!$BE$46</f>
        <v>0</v>
      </c>
    </row>
    <row r="26" spans="1:46" x14ac:dyDescent="0.3">
      <c r="A26" s="19" t="s">
        <v>74</v>
      </c>
      <c r="B26" s="4">
        <f>HUNGARY2008ttl!B22/HUNGARY2008ttl!$BE$2</f>
        <v>1.2391844708317838E-4</v>
      </c>
      <c r="C26" s="4">
        <f>HUNGARY2008ttl!C22/HUNGARY2008ttl!$BE$3</f>
        <v>0</v>
      </c>
      <c r="D26" s="4">
        <f>HUNGARY2008ttl!D22/HUNGARY2008ttl!$BE$4</f>
        <v>0</v>
      </c>
      <c r="E26" s="4">
        <f>HUNGARY2008ttl!E22/HUNGARY2008ttl!$BE$5</f>
        <v>2.5258903763576658E-4</v>
      </c>
      <c r="F26" s="4">
        <f>HUNGARY2008ttl!F22/HUNGARY2008ttl!$BE$6</f>
        <v>0</v>
      </c>
      <c r="G26" s="4">
        <f>HUNGARY2008ttl!G22/HUNGARY2008ttl!$BE$7</f>
        <v>1.1662447604739069E-4</v>
      </c>
      <c r="H26" s="4">
        <f>HUNGARY2008ttl!H22/HUNGARY2008ttl!$BE$8</f>
        <v>1.3450502152080344E-4</v>
      </c>
      <c r="I26" s="4">
        <f>HUNGARY2008ttl!I22/HUNGARY2008ttl!$BE$9</f>
        <v>1.3258203513423931E-4</v>
      </c>
      <c r="J26" s="4">
        <f>HUNGARY2008ttl!J22/HUNGARY2008ttl!$BE$10</f>
        <v>6.7344602330123235E-5</v>
      </c>
      <c r="K26" s="4">
        <f>HUNGARY2008ttl!K22/HUNGARY2008ttl!$BE$11</f>
        <v>2.0793911542700295E-5</v>
      </c>
      <c r="L26" s="4">
        <f>HUNGARY2008ttl!L22/HUNGARY2008ttl!$BE$12</f>
        <v>3.6619976197015465E-5</v>
      </c>
      <c r="M26" s="4">
        <f>HUNGARY2008ttl!M22/HUNGARY2008ttl!$BE$13</f>
        <v>2.8388928317955994E-5</v>
      </c>
      <c r="N26" s="4">
        <f>HUNGARY2008ttl!N22/HUNGARY2008ttl!$BE$14</f>
        <v>9.5396180336939284E-4</v>
      </c>
      <c r="O26" s="4">
        <f>HUNGARY2008ttl!O22/HUNGARY2008ttl!$BE$15</f>
        <v>7.1870058933448346E-5</v>
      </c>
      <c r="P26" s="4">
        <f>HUNGARY2008ttl!P22/HUNGARY2008ttl!$BE$16</f>
        <v>1.6409266409266401E-2</v>
      </c>
      <c r="Q26" s="4">
        <f>HUNGARY2008ttl!Q22/HUNGARY2008ttl!$BE$17</f>
        <v>1.3120561560034768E-4</v>
      </c>
      <c r="R26" s="4">
        <f>HUNGARY2008ttl!R22/HUNGARY2008ttl!$BE$18</f>
        <v>1.9368669416430797E-4</v>
      </c>
      <c r="S26" s="4">
        <f>HUNGARY2008ttl!S22/HUNGARY2008ttl!$BE$19</f>
        <v>2.9703211355391625E-3</v>
      </c>
      <c r="T26" s="4">
        <f>HUNGARY2008ttl!T22/HUNGARY2008ttl!$BE$20</f>
        <v>6.9903646325335375E-4</v>
      </c>
      <c r="U26" s="4">
        <f>HUNGARY2008ttl!U22/HUNGARY2008ttl!$BE$21</f>
        <v>4.6245953479070567E-4</v>
      </c>
      <c r="V26" s="4">
        <f>HUNGARY2008ttl!V22/HUNGARY2008ttl!$BE$22</f>
        <v>0.22765802857834833</v>
      </c>
      <c r="W26" s="4">
        <f>HUNGARY2008ttl!W22/HUNGARY2008ttl!$BE$23</f>
        <v>8.727541505571982E-3</v>
      </c>
      <c r="X26" s="4">
        <f>HUNGARY2008ttl!X22/HUNGARY2008ttl!$BE$24</f>
        <v>6.2632441516957739E-5</v>
      </c>
      <c r="Y26" s="4">
        <f>HUNGARY2008ttl!Y22/HUNGARY2008ttl!$BE$25</f>
        <v>1.3152270410679643E-4</v>
      </c>
      <c r="Z26" s="4">
        <f>HUNGARY2008ttl!Z22/HUNGARY2008ttl!$BE$26</f>
        <v>5.6331227618396183E-4</v>
      </c>
      <c r="AA26" s="4">
        <f>HUNGARY2008ttl!AA22/HUNGARY2008ttl!$BE$27</f>
        <v>9.9043193837312373E-4</v>
      </c>
      <c r="AB26" s="4">
        <f>HUNGARY2008ttl!AB22/HUNGARY2008ttl!$BE$28</f>
        <v>1.4788317229388781E-3</v>
      </c>
      <c r="AC26" s="4">
        <f>HUNGARY2008ttl!AC22/HUNGARY2008ttl!$BE$29</f>
        <v>7.7669902912621332E-4</v>
      </c>
      <c r="AD26" s="4">
        <f>HUNGARY2008ttl!AD22/HUNGARY2008ttl!$BE$30</f>
        <v>1.1631513647642679E-3</v>
      </c>
      <c r="AE26" s="4">
        <f>HUNGARY2008ttl!AE22/HUNGARY2008ttl!$BE$31</f>
        <v>4.74606522797339E-3</v>
      </c>
      <c r="AF26" s="4">
        <f>HUNGARY2008ttl!AF22/HUNGARY2008ttl!$BE$32</f>
        <v>1.6505735743170755E-4</v>
      </c>
      <c r="AG26" s="4">
        <f>HUNGARY2008ttl!AG22/HUNGARY2008ttl!$BE$33</f>
        <v>3.1005829095870021E-5</v>
      </c>
      <c r="AH26" s="4">
        <f>HUNGARY2008ttl!AH22/HUNGARY2008ttl!$BE$34</f>
        <v>2.8366380166226989E-5</v>
      </c>
      <c r="AI26" s="4">
        <f>HUNGARY2008ttl!AI22/HUNGARY2008ttl!$BE$35</f>
        <v>1.8774406728747379E-5</v>
      </c>
      <c r="AJ26" s="4">
        <f>HUNGARY2008ttl!AJ22/HUNGARY2008ttl!$BE$36</f>
        <v>1.6155523842860601E-4</v>
      </c>
      <c r="AK26" s="4">
        <f>HUNGARY2008ttl!AK22/HUNGARY2008ttl!$BE$37</f>
        <v>8.7716220483491821E-6</v>
      </c>
      <c r="AL26" s="4">
        <f>HUNGARY2008ttl!AL22/HUNGARY2008ttl!$BE$38</f>
        <v>4.1115522871978003E-5</v>
      </c>
      <c r="AM26" s="4">
        <f>HUNGARY2008ttl!AM22/HUNGARY2008ttl!$BE$39</f>
        <v>8.6749420356145785E-5</v>
      </c>
      <c r="AN26" s="4">
        <f>HUNGARY2008ttl!AN22/HUNGARY2008ttl!$BE$40</f>
        <v>3.1695927790676448E-3</v>
      </c>
      <c r="AO26" s="4">
        <f>HUNGARY2008ttl!AO22/HUNGARY2008ttl!$BE$41</f>
        <v>6.5361918278927322E-4</v>
      </c>
      <c r="AP26" s="4">
        <f>HUNGARY2008ttl!AP22/HUNGARY2008ttl!$BE$42</f>
        <v>8.2820634169427363E-5</v>
      </c>
      <c r="AQ26" s="4">
        <f>HUNGARY2008ttl!AQ22/HUNGARY2008ttl!$BE$43</f>
        <v>1.546841680753975E-4</v>
      </c>
      <c r="AR26" s="4">
        <f>HUNGARY2008ttl!AR22/HUNGARY2008ttl!$BE$44</f>
        <v>2.1159542953872194E-4</v>
      </c>
      <c r="AS26" s="4">
        <f>HUNGARY2008ttl!AS22/HUNGARY2008ttl!$BE$45</f>
        <v>1.9758940920766653E-4</v>
      </c>
      <c r="AT26" s="4">
        <f>HUNGARY2008ttl!AT22/HUNGARY2008ttl!$BE$46</f>
        <v>0</v>
      </c>
    </row>
    <row r="27" spans="1:46" x14ac:dyDescent="0.3">
      <c r="A27" s="19" t="s">
        <v>75</v>
      </c>
      <c r="B27" s="4">
        <f>HUNGARY2008ttl!B23/HUNGARY2008ttl!$BE$2</f>
        <v>8.4556116833227606E-4</v>
      </c>
      <c r="C27" s="4">
        <f>HUNGARY2008ttl!C23/HUNGARY2008ttl!$BE$3</f>
        <v>1.6474464579901158E-3</v>
      </c>
      <c r="D27" s="4">
        <f>HUNGARY2008ttl!D23/HUNGARY2008ttl!$BE$4</f>
        <v>1.1783189316574919E-3</v>
      </c>
      <c r="E27" s="4">
        <f>HUNGARY2008ttl!E23/HUNGARY2008ttl!$BE$5</f>
        <v>4.5466026774437984E-3</v>
      </c>
      <c r="F27" s="4">
        <f>HUNGARY2008ttl!F23/HUNGARY2008ttl!$BE$6</f>
        <v>3.7756202804746495E-3</v>
      </c>
      <c r="G27" s="4">
        <f>HUNGARY2008ttl!G23/HUNGARY2008ttl!$BE$7</f>
        <v>2.0992405688530324E-3</v>
      </c>
      <c r="H27" s="4">
        <f>HUNGARY2008ttl!H23/HUNGARY2008ttl!$BE$8</f>
        <v>2.9277259684361547E-2</v>
      </c>
      <c r="I27" s="4">
        <f>HUNGARY2008ttl!I23/HUNGARY2008ttl!$BE$9</f>
        <v>8.087504143188597E-3</v>
      </c>
      <c r="J27" s="4">
        <f>HUNGARY2008ttl!J23/HUNGARY2008ttl!$BE$10</f>
        <v>4.2427099467977642E-3</v>
      </c>
      <c r="K27" s="4">
        <f>HUNGARY2008ttl!K23/HUNGARY2008ttl!$BE$11</f>
        <v>6.0614252146971356E-3</v>
      </c>
      <c r="L27" s="4">
        <f>HUNGARY2008ttl!L23/HUNGARY2008ttl!$BE$12</f>
        <v>5.5479263938478423E-3</v>
      </c>
      <c r="M27" s="4">
        <f>HUNGARY2008ttl!M23/HUNGARY2008ttl!$BE$13</f>
        <v>4.3151171043293111E-3</v>
      </c>
      <c r="N27" s="4">
        <f>HUNGARY2008ttl!N23/HUNGARY2008ttl!$BE$14</f>
        <v>6.6968118596531382E-3</v>
      </c>
      <c r="O27" s="4">
        <f>HUNGARY2008ttl!O23/HUNGARY2008ttl!$BE$15</f>
        <v>2.5394087489818413E-3</v>
      </c>
      <c r="P27" s="4">
        <f>HUNGARY2008ttl!P23/HUNGARY2008ttl!$BE$16</f>
        <v>2.4970622796709743E-3</v>
      </c>
      <c r="Q27" s="4">
        <f>HUNGARY2008ttl!Q23/HUNGARY2008ttl!$BE$17</f>
        <v>4.0181719777606477E-3</v>
      </c>
      <c r="R27" s="4">
        <f>HUNGARY2008ttl!R23/HUNGARY2008ttl!$BE$18</f>
        <v>6.4752983435385682E-3</v>
      </c>
      <c r="S27" s="4">
        <f>HUNGARY2008ttl!S23/HUNGARY2008ttl!$BE$19</f>
        <v>4.0415844958975496E-3</v>
      </c>
      <c r="T27" s="4">
        <f>HUNGARY2008ttl!T23/HUNGARY2008ttl!$BE$20</f>
        <v>1.0995654638201402E-2</v>
      </c>
      <c r="U27" s="4">
        <f>HUNGARY2008ttl!U23/HUNGARY2008ttl!$BE$21</f>
        <v>6.728577916099006E-3</v>
      </c>
      <c r="V27" s="4">
        <f>HUNGARY2008ttl!V23/HUNGARY2008ttl!$BE$22</f>
        <v>3.5117461855170748E-3</v>
      </c>
      <c r="W27" s="4">
        <f>HUNGARY2008ttl!W23/HUNGARY2008ttl!$BE$23</f>
        <v>3.9316579486013199E-2</v>
      </c>
      <c r="X27" s="4">
        <f>HUNGARY2008ttl!X23/HUNGARY2008ttl!$BE$24</f>
        <v>1.2369907199599154E-2</v>
      </c>
      <c r="Y27" s="4">
        <f>HUNGARY2008ttl!Y23/HUNGARY2008ttl!$BE$25</f>
        <v>3.2223062506165127E-3</v>
      </c>
      <c r="Z27" s="4">
        <f>HUNGARY2008ttl!Z23/HUNGARY2008ttl!$BE$26</f>
        <v>5.0928028234590826E-3</v>
      </c>
      <c r="AA27" s="4">
        <f>HUNGARY2008ttl!AA23/HUNGARY2008ttl!$BE$27</f>
        <v>1.8830434383884083E-3</v>
      </c>
      <c r="AB27" s="4">
        <f>HUNGARY2008ttl!AB23/HUNGARY2008ttl!$BE$28</f>
        <v>1.0871411584847968E-2</v>
      </c>
      <c r="AC27" s="4">
        <f>HUNGARY2008ttl!AC23/HUNGARY2008ttl!$BE$29</f>
        <v>8.1553398058252392E-3</v>
      </c>
      <c r="AD27" s="4">
        <f>HUNGARY2008ttl!AD23/HUNGARY2008ttl!$BE$30</f>
        <v>9.3827543424317601E-3</v>
      </c>
      <c r="AE27" s="4">
        <f>HUNGARY2008ttl!AE23/HUNGARY2008ttl!$BE$31</f>
        <v>1.4136784033749799E-2</v>
      </c>
      <c r="AF27" s="4">
        <f>HUNGARY2008ttl!AF23/HUNGARY2008ttl!$BE$32</f>
        <v>1.2379301807378066E-3</v>
      </c>
      <c r="AG27" s="4">
        <f>HUNGARY2008ttl!AG23/HUNGARY2008ttl!$BE$33</f>
        <v>8.8366612923229562E-4</v>
      </c>
      <c r="AH27" s="4">
        <f>HUNGARY2008ttl!AH23/HUNGARY2008ttl!$BE$34</f>
        <v>1.2764871074802144E-3</v>
      </c>
      <c r="AI27" s="4">
        <f>HUNGARY2008ttl!AI23/HUNGARY2008ttl!$BE$35</f>
        <v>3.7548813457494753E-3</v>
      </c>
      <c r="AJ27" s="4">
        <f>HUNGARY2008ttl!AJ23/HUNGARY2008ttl!$BE$36</f>
        <v>1.5078488920003226E-3</v>
      </c>
      <c r="AK27" s="4">
        <f>HUNGARY2008ttl!AK23/HUNGARY2008ttl!$BE$37</f>
        <v>2.7542893231816425E-3</v>
      </c>
      <c r="AL27" s="4">
        <f>HUNGARY2008ttl!AL23/HUNGARY2008ttl!$BE$38</f>
        <v>1.7620938373704861E-3</v>
      </c>
      <c r="AM27" s="4">
        <f>HUNGARY2008ttl!AM23/HUNGARY2008ttl!$BE$39</f>
        <v>2.034668222898692E-3</v>
      </c>
      <c r="AN27" s="4">
        <f>HUNGARY2008ttl!AN23/HUNGARY2008ttl!$BE$40</f>
        <v>1.9826259358777035E-3</v>
      </c>
      <c r="AO27" s="4">
        <f>HUNGARY2008ttl!AO23/HUNGARY2008ttl!$BE$41</f>
        <v>1.9172829361818681E-3</v>
      </c>
      <c r="AP27" s="4">
        <f>HUNGARY2008ttl!AP23/HUNGARY2008ttl!$BE$42</f>
        <v>2.5674396592522486E-3</v>
      </c>
      <c r="AQ27" s="4">
        <f>HUNGARY2008ttl!AQ23/HUNGARY2008ttl!$BE$43</f>
        <v>2.2340813417746696E-2</v>
      </c>
      <c r="AR27" s="4">
        <f>HUNGARY2008ttl!AR23/HUNGARY2008ttl!$BE$44</f>
        <v>2.5996009914757267E-3</v>
      </c>
      <c r="AS27" s="4">
        <f>HUNGARY2008ttl!AS23/HUNGARY2008ttl!$BE$45</f>
        <v>2.0005927682276233E-3</v>
      </c>
      <c r="AT27" s="4">
        <f>HUNGARY2008ttl!AT23/HUNGARY2008ttl!$BE$46</f>
        <v>0</v>
      </c>
    </row>
    <row r="28" spans="1:46" x14ac:dyDescent="0.3">
      <c r="A28" s="19" t="s">
        <v>76</v>
      </c>
      <c r="B28" s="4">
        <f>HUNGARY2008ttl!B24/HUNGARY2008ttl!$BE$2</f>
        <v>1.9673875804558733E-2</v>
      </c>
      <c r="C28" s="4">
        <f>HUNGARY2008ttl!C24/HUNGARY2008ttl!$BE$3</f>
        <v>2.9654036243822082E-2</v>
      </c>
      <c r="D28" s="4">
        <f>HUNGARY2008ttl!D24/HUNGARY2008ttl!$BE$4</f>
        <v>9.4265514532599348E-3</v>
      </c>
      <c r="E28" s="4">
        <f>HUNGARY2008ttl!E24/HUNGARY2008ttl!$BE$5</f>
        <v>3.2331396817378122E-2</v>
      </c>
      <c r="F28" s="4">
        <f>HUNGARY2008ttl!F24/HUNGARY2008ttl!$BE$6</f>
        <v>9.1693635382955781E-3</v>
      </c>
      <c r="G28" s="4">
        <f>HUNGARY2008ttl!G24/HUNGARY2008ttl!$BE$7</f>
        <v>2.1561807542173468E-2</v>
      </c>
      <c r="H28" s="4">
        <f>HUNGARY2008ttl!H24/HUNGARY2008ttl!$BE$8</f>
        <v>1.2015781922525108E-2</v>
      </c>
      <c r="I28" s="4">
        <f>HUNGARY2008ttl!I24/HUNGARY2008ttl!$BE$9</f>
        <v>2.6317533974146504E-2</v>
      </c>
      <c r="J28" s="4">
        <f>HUNGARY2008ttl!J24/HUNGARY2008ttl!$BE$10</f>
        <v>4.2965856286618621E-2</v>
      </c>
      <c r="K28" s="4">
        <f>HUNGARY2008ttl!K24/HUNGARY2008ttl!$BE$11</f>
        <v>2.8206941007672952E-2</v>
      </c>
      <c r="L28" s="4">
        <f>HUNGARY2008ttl!L24/HUNGARY2008ttl!$BE$12</f>
        <v>7.4979401263389159E-2</v>
      </c>
      <c r="M28" s="4">
        <f>HUNGARY2008ttl!M24/HUNGARY2008ttl!$BE$13</f>
        <v>2.5266146202980833E-2</v>
      </c>
      <c r="N28" s="4">
        <f>HUNGARY2008ttl!N24/HUNGARY2008ttl!$BE$14</f>
        <v>2.5432621677828015E-2</v>
      </c>
      <c r="O28" s="4">
        <f>HUNGARY2008ttl!O24/HUNGARY2008ttl!$BE$15</f>
        <v>6.0754156485074998E-2</v>
      </c>
      <c r="P28" s="4">
        <f>HUNGARY2008ttl!P24/HUNGARY2008ttl!$BE$16</f>
        <v>5.7474399865704184E-2</v>
      </c>
      <c r="Q28" s="4">
        <f>HUNGARY2008ttl!Q24/HUNGARY2008ttl!$BE$17</f>
        <v>1.3136962261984809E-2</v>
      </c>
      <c r="R28" s="4">
        <f>HUNGARY2008ttl!R24/HUNGARY2008ttl!$BE$18</f>
        <v>6.9375052273397573E-3</v>
      </c>
      <c r="S28" s="4">
        <f>HUNGARY2008ttl!S24/HUNGARY2008ttl!$BE$19</f>
        <v>1.0091787792467072E-2</v>
      </c>
      <c r="T28" s="4">
        <f>HUNGARY2008ttl!T24/HUNGARY2008ttl!$BE$20</f>
        <v>1.5397695068959008E-2</v>
      </c>
      <c r="U28" s="4">
        <f>HUNGARY2008ttl!U24/HUNGARY2008ttl!$BE$21</f>
        <v>1.1194853783627263E-2</v>
      </c>
      <c r="V28" s="4">
        <f>HUNGARY2008ttl!V24/HUNGARY2008ttl!$BE$22</f>
        <v>1.7558730927585375E-2</v>
      </c>
      <c r="W28" s="4">
        <f>HUNGARY2008ttl!W24/HUNGARY2008ttl!$BE$23</f>
        <v>1.2679099385944964E-2</v>
      </c>
      <c r="X28" s="4">
        <f>HUNGARY2008ttl!X24/HUNGARY2008ttl!$BE$24</f>
        <v>5.7120786663465463E-2</v>
      </c>
      <c r="Y28" s="4">
        <f>HUNGARY2008ttl!Y24/HUNGARY2008ttl!$BE$25</f>
        <v>6.010587577680597E-2</v>
      </c>
      <c r="Z28" s="4">
        <f>HUNGARY2008ttl!Z24/HUNGARY2008ttl!$BE$26</f>
        <v>6.5758086117801255E-3</v>
      </c>
      <c r="AA28" s="4">
        <f>HUNGARY2008ttl!AA24/HUNGARY2008ttl!$BE$27</f>
        <v>2.2303059945587383E-2</v>
      </c>
      <c r="AB28" s="4">
        <f>HUNGARY2008ttl!AB24/HUNGARY2008ttl!$BE$28</f>
        <v>1.2879824938298742E-2</v>
      </c>
      <c r="AC28" s="4">
        <f>HUNGARY2008ttl!AC24/HUNGARY2008ttl!$BE$29</f>
        <v>9.7087378640776656E-3</v>
      </c>
      <c r="AD28" s="4">
        <f>HUNGARY2008ttl!AD24/HUNGARY2008ttl!$BE$30</f>
        <v>3.2568238213399503E-3</v>
      </c>
      <c r="AE28" s="4">
        <f>HUNGARY2008ttl!AE24/HUNGARY2008ttl!$BE$31</f>
        <v>4.1680188220022722E-2</v>
      </c>
      <c r="AF28" s="4">
        <f>HUNGARY2008ttl!AF24/HUNGARY2008ttl!$BE$32</f>
        <v>9.6558554097548911E-3</v>
      </c>
      <c r="AG28" s="4">
        <f>HUNGARY2008ttl!AG24/HUNGARY2008ttl!$BE$33</f>
        <v>3.322274587622473E-2</v>
      </c>
      <c r="AH28" s="4">
        <f>HUNGARY2008ttl!AH24/HUNGARY2008ttl!$BE$34</f>
        <v>7.6589226448812867E-3</v>
      </c>
      <c r="AI28" s="4">
        <f>HUNGARY2008ttl!AI24/HUNGARY2008ttl!$BE$35</f>
        <v>1.5826824872334038E-2</v>
      </c>
      <c r="AJ28" s="4">
        <f>HUNGARY2008ttl!AJ24/HUNGARY2008ttl!$BE$36</f>
        <v>1.0204905894073612E-2</v>
      </c>
      <c r="AK28" s="4">
        <f>HUNGARY2008ttl!AK24/HUNGARY2008ttl!$BE$37</f>
        <v>7.4032490088067095E-3</v>
      </c>
      <c r="AL28" s="4">
        <f>HUNGARY2008ttl!AL24/HUNGARY2008ttl!$BE$38</f>
        <v>1.5565162230105961E-2</v>
      </c>
      <c r="AM28" s="4">
        <f>HUNGARY2008ttl!AM24/HUNGARY2008ttl!$BE$39</f>
        <v>1.4518698443242216E-2</v>
      </c>
      <c r="AN28" s="4">
        <f>HUNGARY2008ttl!AN24/HUNGARY2008ttl!$BE$40</f>
        <v>9.9131296793885191E-3</v>
      </c>
      <c r="AO28" s="4">
        <f>HUNGARY2008ttl!AO24/HUNGARY2008ttl!$BE$41</f>
        <v>2.5211025621871965E-2</v>
      </c>
      <c r="AP28" s="4">
        <f>HUNGARY2008ttl!AP24/HUNGARY2008ttl!$BE$42</f>
        <v>2.8454803596781833E-2</v>
      </c>
      <c r="AQ28" s="4">
        <f>HUNGARY2008ttl!AQ24/HUNGARY2008ttl!$BE$43</f>
        <v>2.2009347343299415E-2</v>
      </c>
      <c r="AR28" s="4">
        <f>HUNGARY2008ttl!AR24/HUNGARY2008ttl!$BE$44</f>
        <v>4.5825524454386063E-2</v>
      </c>
      <c r="AS28" s="4">
        <f>HUNGARY2008ttl!AS24/HUNGARY2008ttl!$BE$45</f>
        <v>2.0302311796087734E-2</v>
      </c>
      <c r="AT28" s="4">
        <f>HUNGARY2008ttl!AT24/HUNGARY2008ttl!$BE$46</f>
        <v>0</v>
      </c>
    </row>
    <row r="29" spans="1:46" x14ac:dyDescent="0.3">
      <c r="A29" s="19" t="s">
        <v>77</v>
      </c>
      <c r="B29" s="4">
        <f>HUNGARY2008ttl!B25/HUNGARY2008ttl!$BE$2</f>
        <v>2.9740427299962814E-3</v>
      </c>
      <c r="C29" s="4">
        <f>HUNGARY2008ttl!C25/HUNGARY2008ttl!$BE$3</f>
        <v>3.2948929159802316E-3</v>
      </c>
      <c r="D29" s="4">
        <f>HUNGARY2008ttl!D25/HUNGARY2008ttl!$BE$4</f>
        <v>2.7494108405341474E-3</v>
      </c>
      <c r="E29" s="4">
        <f>HUNGARY2008ttl!E25/HUNGARY2008ttl!$BE$5</f>
        <v>4.7991917150795645E-3</v>
      </c>
      <c r="F29" s="4">
        <f>HUNGARY2008ttl!F25/HUNGARY2008ttl!$BE$6</f>
        <v>5.9331175836030217E-3</v>
      </c>
      <c r="G29" s="4">
        <f>HUNGARY2008ttl!G25/HUNGARY2008ttl!$BE$7</f>
        <v>4.8296253610213558E-3</v>
      </c>
      <c r="H29" s="4">
        <f>HUNGARY2008ttl!H25/HUNGARY2008ttl!$BE$8</f>
        <v>2.4659253945480629E-3</v>
      </c>
      <c r="I29" s="4">
        <f>HUNGARY2008ttl!I25/HUNGARY2008ttl!$BE$9</f>
        <v>1.1335764003977462E-2</v>
      </c>
      <c r="J29" s="4">
        <f>HUNGARY2008ttl!J25/HUNGARY2008ttl!$BE$10</f>
        <v>6.1283588120412142E-3</v>
      </c>
      <c r="K29" s="4">
        <f>HUNGARY2008ttl!K25/HUNGARY2008ttl!$BE$11</f>
        <v>3.8052858123141541E-3</v>
      </c>
      <c r="L29" s="4">
        <f>HUNGARY2008ttl!L25/HUNGARY2008ttl!$BE$12</f>
        <v>1.4135310812047969E-2</v>
      </c>
      <c r="M29" s="4">
        <f>HUNGARY2008ttl!M25/HUNGARY2008ttl!$BE$13</f>
        <v>8.9425124201561387E-3</v>
      </c>
      <c r="N29" s="4">
        <f>HUNGARY2008ttl!N25/HUNGARY2008ttl!$BE$14</f>
        <v>4.292828115162268E-3</v>
      </c>
      <c r="O29" s="4">
        <f>HUNGARY2008ttl!O25/HUNGARY2008ttl!$BE$15</f>
        <v>5.1267308705859813E-3</v>
      </c>
      <c r="P29" s="4">
        <f>HUNGARY2008ttl!P25/HUNGARY2008ttl!$BE$16</f>
        <v>3.4539197582675825E-2</v>
      </c>
      <c r="Q29" s="4">
        <f>HUNGARY2008ttl!Q25/HUNGARY2008ttl!$BE$17</f>
        <v>1.9516835320551717E-3</v>
      </c>
      <c r="R29" s="4">
        <f>HUNGARY2008ttl!R25/HUNGARY2008ttl!$BE$18</f>
        <v>8.6718815341746967E-4</v>
      </c>
      <c r="S29" s="4">
        <f>HUNGARY2008ttl!S25/HUNGARY2008ttl!$BE$19</f>
        <v>1.2416916222335842E-3</v>
      </c>
      <c r="T29" s="4">
        <f>HUNGARY2008ttl!T25/HUNGARY2008ttl!$BE$20</f>
        <v>1.8515019837521262E-3</v>
      </c>
      <c r="U29" s="4">
        <f>HUNGARY2008ttl!U25/HUNGARY2008ttl!$BE$21</f>
        <v>1.4540394382158224E-3</v>
      </c>
      <c r="V29" s="4">
        <f>HUNGARY2008ttl!V25/HUNGARY2008ttl!$BE$22</f>
        <v>2.3007992249939454E-3</v>
      </c>
      <c r="W29" s="4">
        <f>HUNGARY2008ttl!W25/HUNGARY2008ttl!$BE$23</f>
        <v>2.160564020923357E-3</v>
      </c>
      <c r="X29" s="4">
        <f>HUNGARY2008ttl!X25/HUNGARY2008ttl!$BE$24</f>
        <v>3.7788239715231173E-3</v>
      </c>
      <c r="Y29" s="4">
        <f>HUNGARY2008ttl!Y25/HUNGARY2008ttl!$BE$25</f>
        <v>8.7100910794725928E-2</v>
      </c>
      <c r="Z29" s="4">
        <f>HUNGARY2008ttl!Z25/HUNGARY2008ttl!$BE$26</f>
        <v>3.2131792080289244E-3</v>
      </c>
      <c r="AA29" s="4">
        <f>HUNGARY2008ttl!AA25/HUNGARY2008ttl!$BE$27</f>
        <v>5.7194387552349218E-3</v>
      </c>
      <c r="AB29" s="4">
        <f>HUNGARY2008ttl!AB25/HUNGARY2008ttl!$BE$28</f>
        <v>1.5987369977717601E-3</v>
      </c>
      <c r="AC29" s="4">
        <f>HUNGARY2008ttl!AC25/HUNGARY2008ttl!$BE$29</f>
        <v>5.0485436893203863E-3</v>
      </c>
      <c r="AD29" s="4">
        <f>HUNGARY2008ttl!AD25/HUNGARY2008ttl!$BE$30</f>
        <v>9.3052109181141428E-4</v>
      </c>
      <c r="AE29" s="4">
        <f>HUNGARY2008ttl!AE25/HUNGARY2008ttl!$BE$31</f>
        <v>2.0485153334415056E-3</v>
      </c>
      <c r="AF29" s="4">
        <f>HUNGARY2008ttl!AF25/HUNGARY2008ttl!$BE$32</f>
        <v>1.3204588594536604E-3</v>
      </c>
      <c r="AG29" s="4">
        <f>HUNGARY2008ttl!AG25/HUNGARY2008ttl!$BE$33</f>
        <v>7.1778494356939098E-3</v>
      </c>
      <c r="AH29" s="4">
        <f>HUNGARY2008ttl!AH25/HUNGARY2008ttl!$BE$34</f>
        <v>1.3332198678126684E-3</v>
      </c>
      <c r="AI29" s="4">
        <f>HUNGARY2008ttl!AI25/HUNGARY2008ttl!$BE$35</f>
        <v>1.2391108440973268E-3</v>
      </c>
      <c r="AJ29" s="4">
        <f>HUNGARY2008ttl!AJ25/HUNGARY2008ttl!$BE$36</f>
        <v>9.69331430571636E-4</v>
      </c>
      <c r="AK29" s="4">
        <f>HUNGARY2008ttl!AK25/HUNGARY2008ttl!$BE$37</f>
        <v>2.0525595593137084E-3</v>
      </c>
      <c r="AL29" s="4">
        <f>HUNGARY2008ttl!AL25/HUNGARY2008ttl!$BE$38</f>
        <v>4.5403284542912857E-3</v>
      </c>
      <c r="AM29" s="4">
        <f>HUNGARY2008ttl!AM25/HUNGARY2008ttl!$BE$39</f>
        <v>1.9400324916010784E-3</v>
      </c>
      <c r="AN29" s="4">
        <f>HUNGARY2008ttl!AN25/HUNGARY2008ttl!$BE$40</f>
        <v>4.1348185636396846E-3</v>
      </c>
      <c r="AO29" s="4">
        <f>HUNGARY2008ttl!AO25/HUNGARY2008ttl!$BE$41</f>
        <v>6.6108911630686487E-3</v>
      </c>
      <c r="AP29" s="4">
        <f>HUNGARY2008ttl!AP25/HUNGARY2008ttl!$BE$42</f>
        <v>5.513487931850451E-3</v>
      </c>
      <c r="AQ29" s="4">
        <f>HUNGARY2008ttl!AQ25/HUNGARY2008ttl!$BE$43</f>
        <v>8.5407758515915911E-3</v>
      </c>
      <c r="AR29" s="4">
        <f>HUNGARY2008ttl!AR25/HUNGARY2008ttl!$BE$44</f>
        <v>1.290732120186204E-2</v>
      </c>
      <c r="AS29" s="4">
        <f>HUNGARY2008ttl!AS25/HUNGARY2008ttl!$BE$45</f>
        <v>6.9156293222683279E-3</v>
      </c>
      <c r="AT29" s="4">
        <f>HUNGARY2008ttl!AT25/HUNGARY2008ttl!$BE$46</f>
        <v>0</v>
      </c>
    </row>
    <row r="30" spans="1:46" x14ac:dyDescent="0.3">
      <c r="A30" s="19" t="s">
        <v>78</v>
      </c>
      <c r="B30" s="4">
        <f>HUNGARY2008ttl!B26/HUNGARY2008ttl!$BE$2</f>
        <v>1.7567262204144702E-3</v>
      </c>
      <c r="C30" s="4">
        <f>HUNGARY2008ttl!C26/HUNGARY2008ttl!$BE$3</f>
        <v>6.5897858319604631E-3</v>
      </c>
      <c r="D30" s="4">
        <f>HUNGARY2008ttl!D26/HUNGARY2008ttl!$BE$4</f>
        <v>2.7494108405341474E-3</v>
      </c>
      <c r="E30" s="4">
        <f>HUNGARY2008ttl!E26/HUNGARY2008ttl!$BE$5</f>
        <v>9.3457943925233621E-3</v>
      </c>
      <c r="F30" s="4">
        <f>HUNGARY2008ttl!F26/HUNGARY2008ttl!$BE$6</f>
        <v>5.9331175836030217E-3</v>
      </c>
      <c r="G30" s="4">
        <f>HUNGARY2008ttl!G26/HUNGARY2008ttl!$BE$7</f>
        <v>2.8538695315126193E-3</v>
      </c>
      <c r="H30" s="4">
        <f>HUNGARY2008ttl!H26/HUNGARY2008ttl!$BE$8</f>
        <v>2.152080344332855E-3</v>
      </c>
      <c r="I30" s="4">
        <f>HUNGARY2008ttl!I26/HUNGARY2008ttl!$BE$9</f>
        <v>3.5797149486244614E-3</v>
      </c>
      <c r="J30" s="4">
        <f>HUNGARY2008ttl!J26/HUNGARY2008ttl!$BE$10</f>
        <v>2.9631625025254228E-3</v>
      </c>
      <c r="K30" s="4">
        <f>HUNGARY2008ttl!K26/HUNGARY2008ttl!$BE$11</f>
        <v>3.7429040776860534E-3</v>
      </c>
      <c r="L30" s="4">
        <f>HUNGARY2008ttl!L26/HUNGARY2008ttl!$BE$12</f>
        <v>3.2774878696328834E-3</v>
      </c>
      <c r="M30" s="4">
        <f>HUNGARY2008ttl!M26/HUNGARY2008ttl!$BE$13</f>
        <v>2.2427253371185237E-3</v>
      </c>
      <c r="N30" s="4">
        <f>HUNGARY2008ttl!N26/HUNGARY2008ttl!$BE$14</f>
        <v>3.47242096426459E-3</v>
      </c>
      <c r="O30" s="4">
        <f>HUNGARY2008ttl!O26/HUNGARY2008ttl!$BE$15</f>
        <v>9.3191509750371344E-3</v>
      </c>
      <c r="P30" s="4">
        <f>HUNGARY2008ttl!P26/HUNGARY2008ttl!$BE$16</f>
        <v>2.7068994460298797E-3</v>
      </c>
      <c r="Q30" s="4">
        <f>HUNGARY2008ttl!Q26/HUNGARY2008ttl!$BE$17</f>
        <v>5.0514162006133857E-3</v>
      </c>
      <c r="R30" s="4">
        <f>HUNGARY2008ttl!R26/HUNGARY2008ttl!$BE$18</f>
        <v>2.8788885905331229E-3</v>
      </c>
      <c r="S30" s="4">
        <f>HUNGARY2008ttl!S26/HUNGARY2008ttl!$BE$19</f>
        <v>2.6781584008959661E-3</v>
      </c>
      <c r="T30" s="4">
        <f>HUNGARY2008ttl!T26/HUNGARY2008ttl!$BE$20</f>
        <v>5.8001133572643136E-3</v>
      </c>
      <c r="U30" s="4">
        <f>HUNGARY2008ttl!U26/HUNGARY2008ttl!$BE$21</f>
        <v>4.3287878977256149E-3</v>
      </c>
      <c r="V30" s="4">
        <f>HUNGARY2008ttl!V26/HUNGARY2008ttl!$BE$22</f>
        <v>3.7539355776217008E-3</v>
      </c>
      <c r="W30" s="4">
        <f>HUNGARY2008ttl!W26/HUNGARY2008ttl!$BE$23</f>
        <v>3.9515578803729825E-3</v>
      </c>
      <c r="X30" s="4">
        <f>HUNGARY2008ttl!X26/HUNGARY2008ttl!$BE$24</f>
        <v>1.364343351044396E-2</v>
      </c>
      <c r="Y30" s="4">
        <f>HUNGARY2008ttl!Y26/HUNGARY2008ttl!$BE$25</f>
        <v>1.693354815375004E-2</v>
      </c>
      <c r="Z30" s="4">
        <f>HUNGARY2008ttl!Z26/HUNGARY2008ttl!$BE$26</f>
        <v>3.5207017261497608E-2</v>
      </c>
      <c r="AA30" s="4">
        <f>HUNGARY2008ttl!AA26/HUNGARY2008ttl!$BE$27</f>
        <v>3.9128175343135759E-3</v>
      </c>
      <c r="AB30" s="4">
        <f>HUNGARY2008ttl!AB26/HUNGARY2008ttl!$BE$28</f>
        <v>3.2474345267238876E-3</v>
      </c>
      <c r="AC30" s="4">
        <f>HUNGARY2008ttl!AC26/HUNGARY2008ttl!$BE$29</f>
        <v>5.8252427184465995E-3</v>
      </c>
      <c r="AD30" s="4">
        <f>HUNGARY2008ttl!AD26/HUNGARY2008ttl!$BE$30</f>
        <v>3.0241935483870963E-3</v>
      </c>
      <c r="AE30" s="4">
        <f>HUNGARY2008ttl!AE26/HUNGARY2008ttl!$BE$31</f>
        <v>4.0666071718319007E-2</v>
      </c>
      <c r="AF30" s="4">
        <f>HUNGARY2008ttl!AF26/HUNGARY2008ttl!$BE$32</f>
        <v>2.3933316827597592E-3</v>
      </c>
      <c r="AG30" s="4">
        <f>HUNGARY2008ttl!AG26/HUNGARY2008ttl!$BE$33</f>
        <v>5.6120550663524742E-3</v>
      </c>
      <c r="AH30" s="4">
        <f>HUNGARY2008ttl!AH26/HUNGARY2008ttl!$BE$34</f>
        <v>3.0068362976200603E-3</v>
      </c>
      <c r="AI30" s="4">
        <f>HUNGARY2008ttl!AI26/HUNGARY2008ttl!$BE$35</f>
        <v>6.233103033944129E-3</v>
      </c>
      <c r="AJ30" s="4">
        <f>HUNGARY2008ttl!AJ26/HUNGARY2008ttl!$BE$36</f>
        <v>2.9618460378577766E-3</v>
      </c>
      <c r="AK30" s="4">
        <f>HUNGARY2008ttl!AK26/HUNGARY2008ttl!$BE$37</f>
        <v>3.1665555594540544E-3</v>
      </c>
      <c r="AL30" s="4">
        <f>HUNGARY2008ttl!AL26/HUNGARY2008ttl!$BE$38</f>
        <v>1.5623898691351643E-2</v>
      </c>
      <c r="AM30" s="4">
        <f>HUNGARY2008ttl!AM26/HUNGARY2008ttl!$BE$39</f>
        <v>6.0961183577546074E-3</v>
      </c>
      <c r="AN30" s="4">
        <f>HUNGARY2008ttl!AN26/HUNGARY2008ttl!$BE$40</f>
        <v>3.3913338376855458E-3</v>
      </c>
      <c r="AO30" s="4">
        <f>HUNGARY2008ttl!AO26/HUNGARY2008ttl!$BE$41</f>
        <v>1.7884265830034114E-2</v>
      </c>
      <c r="AP30" s="4">
        <f>HUNGARY2008ttl!AP26/HUNGARY2008ttl!$BE$42</f>
        <v>8.6843350686228137E-3</v>
      </c>
      <c r="AQ30" s="4">
        <f>HUNGARY2008ttl!AQ26/HUNGARY2008ttl!$BE$43</f>
        <v>4.9277956401162348E-3</v>
      </c>
      <c r="AR30" s="4">
        <f>HUNGARY2008ttl!AR26/HUNGARY2008ttl!$BE$44</f>
        <v>1.1244785684057795E-2</v>
      </c>
      <c r="AS30" s="4">
        <f>HUNGARY2008ttl!AS26/HUNGARY2008ttl!$BE$45</f>
        <v>7.3602054929855776E-3</v>
      </c>
      <c r="AT30" s="4">
        <f>HUNGARY2008ttl!AT26/HUNGARY2008ttl!$BE$46</f>
        <v>0</v>
      </c>
    </row>
    <row r="31" spans="1:46" x14ac:dyDescent="0.3">
      <c r="A31" s="19" t="s">
        <v>79</v>
      </c>
      <c r="B31" s="4">
        <f>HUNGARY2008ttl!B27/HUNGARY2008ttl!$BE$2</f>
        <v>8.6633573151975007E-2</v>
      </c>
      <c r="C31" s="4">
        <f>HUNGARY2008ttl!C27/HUNGARY2008ttl!$BE$3</f>
        <v>7.7429983525535442E-2</v>
      </c>
      <c r="D31" s="4">
        <f>HUNGARY2008ttl!D27/HUNGARY2008ttl!$BE$4</f>
        <v>6.2843676355066228E-2</v>
      </c>
      <c r="E31" s="4">
        <f>HUNGARY2008ttl!E27/HUNGARY2008ttl!$BE$5</f>
        <v>5.3043697903510975E-2</v>
      </c>
      <c r="F31" s="4">
        <f>HUNGARY2008ttl!F27/HUNGARY2008ttl!$BE$6</f>
        <v>4.4228694714131607E-2</v>
      </c>
      <c r="G31" s="4">
        <f>HUNGARY2008ttl!G27/HUNGARY2008ttl!$BE$7</f>
        <v>0.10931143537288961</v>
      </c>
      <c r="H31" s="4">
        <f>HUNGARY2008ttl!H27/HUNGARY2008ttl!$BE$8</f>
        <v>0.1567880200860832</v>
      </c>
      <c r="I31" s="4">
        <f>HUNGARY2008ttl!I27/HUNGARY2008ttl!$BE$9</f>
        <v>9.0288365926416966E-2</v>
      </c>
      <c r="J31" s="4">
        <f>HUNGARY2008ttl!J27/HUNGARY2008ttl!$BE$10</f>
        <v>9.3373291130715866E-2</v>
      </c>
      <c r="K31" s="4">
        <f>HUNGARY2008ttl!K27/HUNGARY2008ttl!$BE$11</f>
        <v>0.10191096047077415</v>
      </c>
      <c r="L31" s="4">
        <f>HUNGARY2008ttl!L27/HUNGARY2008ttl!$BE$12</f>
        <v>0.11434587567518077</v>
      </c>
      <c r="M31" s="4">
        <f>HUNGARY2008ttl!M27/HUNGARY2008ttl!$BE$13</f>
        <v>8.1022001419446404E-2</v>
      </c>
      <c r="N31" s="4">
        <f>HUNGARY2008ttl!N27/HUNGARY2008ttl!$BE$14</f>
        <v>0.1107740446072539</v>
      </c>
      <c r="O31" s="4">
        <f>HUNGARY2008ttl!O27/HUNGARY2008ttl!$BE$15</f>
        <v>7.5535431939054209E-2</v>
      </c>
      <c r="P31" s="4">
        <f>HUNGARY2008ttl!P27/HUNGARY2008ttl!$BE$16</f>
        <v>7.4387275474231962E-2</v>
      </c>
      <c r="Q31" s="4">
        <f>HUNGARY2008ttl!Q27/HUNGARY2008ttl!$BE$17</f>
        <v>6.3552720056418405E-2</v>
      </c>
      <c r="R31" s="4">
        <f>HUNGARY2008ttl!R27/HUNGARY2008ttl!$BE$18</f>
        <v>0.11382614858410627</v>
      </c>
      <c r="S31" s="4">
        <f>HUNGARY2008ttl!S27/HUNGARY2008ttl!$BE$19</f>
        <v>9.6766732403281971E-2</v>
      </c>
      <c r="T31" s="4">
        <f>HUNGARY2008ttl!T27/HUNGARY2008ttl!$BE$20</f>
        <v>7.4759115813338398E-2</v>
      </c>
      <c r="U31" s="4">
        <f>HUNGARY2008ttl!U27/HUNGARY2008ttl!$BE$21</f>
        <v>9.4300082076151648E-2</v>
      </c>
      <c r="V31" s="4">
        <f>HUNGARY2008ttl!V27/HUNGARY2008ttl!$BE$22</f>
        <v>6.2363768466941159E-2</v>
      </c>
      <c r="W31" s="4">
        <f>HUNGARY2008ttl!W27/HUNGARY2008ttl!$BE$23</f>
        <v>8.9691835342278842E-2</v>
      </c>
      <c r="X31" s="4">
        <f>HUNGARY2008ttl!X27/HUNGARY2008ttl!$BE$24</f>
        <v>6.1578128751422281E-2</v>
      </c>
      <c r="Y31" s="4">
        <f>HUNGARY2008ttl!Y27/HUNGARY2008ttl!$BE$25</f>
        <v>3.2979318054779203E-2</v>
      </c>
      <c r="Z31" s="4">
        <f>HUNGARY2008ttl!Z27/HUNGARY2008ttl!$BE$26</f>
        <v>6.1148122388214127E-2</v>
      </c>
      <c r="AA31" s="4">
        <f>HUNGARY2008ttl!AA27/HUNGARY2008ttl!$BE$27</f>
        <v>6.4662366643230523E-2</v>
      </c>
      <c r="AB31" s="4">
        <f>HUNGARY2008ttl!AB27/HUNGARY2008ttl!$BE$28</f>
        <v>6.827606191109023E-2</v>
      </c>
      <c r="AC31" s="4">
        <f>HUNGARY2008ttl!AC27/HUNGARY2008ttl!$BE$29</f>
        <v>9.3592233009708703E-2</v>
      </c>
      <c r="AD31" s="4">
        <f>HUNGARY2008ttl!AD27/HUNGARY2008ttl!$BE$30</f>
        <v>6.7230148883374682E-2</v>
      </c>
      <c r="AE31" s="4">
        <f>HUNGARY2008ttl!AE27/HUNGARY2008ttl!$BE$31</f>
        <v>3.3891773486938184E-2</v>
      </c>
      <c r="AF31" s="4">
        <f>HUNGARY2008ttl!AF27/HUNGARY2008ttl!$BE$32</f>
        <v>3.5569860526532979E-2</v>
      </c>
      <c r="AG31" s="4">
        <f>HUNGARY2008ttl!AG27/HUNGARY2008ttl!$BE$33</f>
        <v>8.7777502170408042E-2</v>
      </c>
      <c r="AH31" s="4">
        <f>HUNGARY2008ttl!AH27/HUNGARY2008ttl!$BE$34</f>
        <v>4.2521203869174254E-2</v>
      </c>
      <c r="AI31" s="4">
        <f>HUNGARY2008ttl!AI27/HUNGARY2008ttl!$BE$35</f>
        <v>2.423775908681286E-2</v>
      </c>
      <c r="AJ31" s="4">
        <f>HUNGARY2008ttl!AJ27/HUNGARY2008ttl!$BE$36</f>
        <v>2.1513772584076035E-2</v>
      </c>
      <c r="AK31" s="4">
        <f>HUNGARY2008ttl!AK27/HUNGARY2008ttl!$BE$37</f>
        <v>1.8709869829128804E-2</v>
      </c>
      <c r="AL31" s="4">
        <f>HUNGARY2008ttl!AL27/HUNGARY2008ttl!$BE$38</f>
        <v>2.1186241571317811E-2</v>
      </c>
      <c r="AM31" s="4">
        <f>HUNGARY2008ttl!AM27/HUNGARY2008ttl!$BE$39</f>
        <v>2.7365498966893258E-2</v>
      </c>
      <c r="AN31" s="4">
        <f>HUNGARY2008ttl!AN27/HUNGARY2008ttl!$BE$40</f>
        <v>4.1622101061748372E-2</v>
      </c>
      <c r="AO31" s="4">
        <f>HUNGARY2008ttl!AO27/HUNGARY2008ttl!$BE$41</f>
        <v>1.2039042852518613E-2</v>
      </c>
      <c r="AP31" s="4">
        <f>HUNGARY2008ttl!AP27/HUNGARY2008ttl!$BE$42</f>
        <v>1.4138665404637958E-2</v>
      </c>
      <c r="AQ31" s="4">
        <f>HUNGARY2008ttl!AQ27/HUNGARY2008ttl!$BE$43</f>
        <v>5.0537527484062011E-2</v>
      </c>
      <c r="AR31" s="4">
        <f>HUNGARY2008ttl!AR27/HUNGARY2008ttl!$BE$44</f>
        <v>3.1920681941841479E-2</v>
      </c>
      <c r="AS31" s="4">
        <f>HUNGARY2008ttl!AS27/HUNGARY2008ttl!$BE$45</f>
        <v>3.2528156490812095E-2</v>
      </c>
      <c r="AT31" s="4">
        <f>HUNGARY2008ttl!AT27/HUNGARY2008ttl!$BE$46</f>
        <v>0</v>
      </c>
    </row>
    <row r="32" spans="1:46" x14ac:dyDescent="0.3">
      <c r="A32" s="19" t="s">
        <v>80</v>
      </c>
      <c r="B32" s="4">
        <f>HUNGARY2008ttl!B28/HUNGARY2008ttl!$BE$2</f>
        <v>1.3317588401233349E-2</v>
      </c>
      <c r="C32" s="4">
        <f>HUNGARY2008ttl!C28/HUNGARY2008ttl!$BE$3</f>
        <v>2.1416803953871504E-2</v>
      </c>
      <c r="D32" s="4">
        <f>HUNGARY2008ttl!D28/HUNGARY2008ttl!$BE$4</f>
        <v>6.8342498036134527E-2</v>
      </c>
      <c r="E32" s="4">
        <f>HUNGARY2008ttl!E28/HUNGARY2008ttl!$BE$5</f>
        <v>8.4869916645617563E-2</v>
      </c>
      <c r="F32" s="4">
        <f>HUNGARY2008ttl!F28/HUNGARY2008ttl!$BE$6</f>
        <v>4.8004314994606265E-2</v>
      </c>
      <c r="G32" s="4">
        <f>HUNGARY2008ttl!G28/HUNGARY2008ttl!$BE$7</f>
        <v>2.4086384435434632E-2</v>
      </c>
      <c r="H32" s="4">
        <f>HUNGARY2008ttl!H28/HUNGARY2008ttl!$BE$8</f>
        <v>1.6050932568149209E-2</v>
      </c>
      <c r="I32" s="4">
        <f>HUNGARY2008ttl!I28/HUNGARY2008ttl!$BE$9</f>
        <v>1.7169373549883991E-2</v>
      </c>
      <c r="J32" s="4">
        <f>HUNGARY2008ttl!J28/HUNGARY2008ttl!$BE$10</f>
        <v>1.9799313085056232E-2</v>
      </c>
      <c r="K32" s="4">
        <f>HUNGARY2008ttl!K28/HUNGARY2008ttl!$BE$11</f>
        <v>2.2301470129546069E-2</v>
      </c>
      <c r="L32" s="4">
        <f>HUNGARY2008ttl!L28/HUNGARY2008ttl!$BE$12</f>
        <v>1.8676187860477884E-2</v>
      </c>
      <c r="M32" s="4">
        <f>HUNGARY2008ttl!M28/HUNGARY2008ttl!$BE$13</f>
        <v>7.7785663591199419E-3</v>
      </c>
      <c r="N32" s="4">
        <f>HUNGARY2008ttl!N28/HUNGARY2008ttl!$BE$14</f>
        <v>1.7381184057390336E-2</v>
      </c>
      <c r="O32" s="4">
        <f>HUNGARY2008ttl!O28/HUNGARY2008ttl!$BE$15</f>
        <v>4.1780460926644641E-2</v>
      </c>
      <c r="P32" s="4">
        <f>HUNGARY2008ttl!P28/HUNGARY2008ttl!$BE$16</f>
        <v>1.9766661071008888E-2</v>
      </c>
      <c r="Q32" s="4">
        <f>HUNGARY2008ttl!Q28/HUNGARY2008ttl!$BE$17</f>
        <v>1.6843520902694632E-2</v>
      </c>
      <c r="R32" s="4">
        <f>HUNGARY2008ttl!R28/HUNGARY2008ttl!$BE$18</f>
        <v>1.7260125632232989E-2</v>
      </c>
      <c r="S32" s="4">
        <f>HUNGARY2008ttl!S28/HUNGARY2008ttl!$BE$19</f>
        <v>1.5582012514303804E-2</v>
      </c>
      <c r="T32" s="4">
        <f>HUNGARY2008ttl!T28/HUNGARY2008ttl!$BE$20</f>
        <v>2.0007557150954099E-2</v>
      </c>
      <c r="U32" s="4">
        <f>HUNGARY2008ttl!U28/HUNGARY2008ttl!$BE$21</f>
        <v>1.4223755421400624E-2</v>
      </c>
      <c r="V32" s="4">
        <f>HUNGARY2008ttl!V28/HUNGARY2008ttl!$BE$22</f>
        <v>1.2714943085492859E-2</v>
      </c>
      <c r="W32" s="4">
        <f>HUNGARY2008ttl!W28/HUNGARY2008ttl!$BE$23</f>
        <v>1.5493518307937233E-2</v>
      </c>
      <c r="X32" s="4">
        <f>HUNGARY2008ttl!X28/HUNGARY2008ttl!$BE$24</f>
        <v>4.2642253932795394E-2</v>
      </c>
      <c r="Y32" s="4">
        <f>HUNGARY2008ttl!Y28/HUNGARY2008ttl!$BE$25</f>
        <v>1.6308815309242757E-2</v>
      </c>
      <c r="Z32" s="4">
        <f>HUNGARY2008ttl!Z28/HUNGARY2008ttl!$BE$26</f>
        <v>2.4187939369205214E-2</v>
      </c>
      <c r="AA32" s="4">
        <f>HUNGARY2008ttl!AA28/HUNGARY2008ttl!$BE$27</f>
        <v>3.9788463302051172E-2</v>
      </c>
      <c r="AB32" s="4">
        <f>HUNGARY2008ttl!AB28/HUNGARY2008ttl!$BE$28</f>
        <v>1.7835909631391197E-2</v>
      </c>
      <c r="AC32" s="4">
        <f>HUNGARY2008ttl!AC28/HUNGARY2008ttl!$BE$29</f>
        <v>2.8737864077669893E-2</v>
      </c>
      <c r="AD32" s="4">
        <f>HUNGARY2008ttl!AD28/HUNGARY2008ttl!$BE$30</f>
        <v>1.698200992555831E-2</v>
      </c>
      <c r="AE32" s="4">
        <f>HUNGARY2008ttl!AE28/HUNGARY2008ttl!$BE$31</f>
        <v>8.2346259938341718E-3</v>
      </c>
      <c r="AF32" s="4">
        <f>HUNGARY2008ttl!AF28/HUNGARY2008ttl!$BE$32</f>
        <v>1.7248493851613436E-2</v>
      </c>
      <c r="AG32" s="4">
        <f>HUNGARY2008ttl!AG28/HUNGARY2008ttl!$BE$33</f>
        <v>9.6893215924593809E-3</v>
      </c>
      <c r="AH32" s="4">
        <f>HUNGARY2008ttl!AH28/HUNGARY2008ttl!$BE$34</f>
        <v>7.176694182055428E-3</v>
      </c>
      <c r="AI32" s="4">
        <f>HUNGARY2008ttl!AI28/HUNGARY2008ttl!$BE$35</f>
        <v>7.3220186242114764E-3</v>
      </c>
      <c r="AJ32" s="4">
        <f>HUNGARY2008ttl!AJ28/HUNGARY2008ttl!$BE$36</f>
        <v>4.6851019144295734E-3</v>
      </c>
      <c r="AK32" s="4">
        <f>HUNGARY2008ttl!AK28/HUNGARY2008ttl!$BE$37</f>
        <v>3.6665380162099574E-3</v>
      </c>
      <c r="AL32" s="4">
        <f>HUNGARY2008ttl!AL28/HUNGARY2008ttl!$BE$38</f>
        <v>5.0572093132532948E-3</v>
      </c>
      <c r="AM32" s="4">
        <f>HUNGARY2008ttl!AM28/HUNGARY2008ttl!$BE$39</f>
        <v>7.0030441160234044E-3</v>
      </c>
      <c r="AN32" s="4">
        <f>HUNGARY2008ttl!AN28/HUNGARY2008ttl!$BE$40</f>
        <v>1.7400151305663532E-2</v>
      </c>
      <c r="AO32" s="4">
        <f>HUNGARY2008ttl!AO28/HUNGARY2008ttl!$BE$41</f>
        <v>5.0173053459824203E-3</v>
      </c>
      <c r="AP32" s="4">
        <f>HUNGARY2008ttl!AP28/HUNGARY2008ttl!$BE$42</f>
        <v>4.566966398485567E-3</v>
      </c>
      <c r="AQ32" s="4">
        <f>HUNGARY2008ttl!AQ28/HUNGARY2008ttl!$BE$43</f>
        <v>5.3587015368976995E-3</v>
      </c>
      <c r="AR32" s="4">
        <f>HUNGARY2008ttl!AR28/HUNGARY2008ttl!$BE$44</f>
        <v>8.826552203615258E-3</v>
      </c>
      <c r="AS32" s="4">
        <f>HUNGARY2008ttl!AS28/HUNGARY2008ttl!$BE$45</f>
        <v>1.1237897648686032E-2</v>
      </c>
      <c r="AT32" s="4">
        <f>HUNGARY2008ttl!AT28/HUNGARY2008ttl!$BE$46</f>
        <v>0</v>
      </c>
    </row>
    <row r="33" spans="1:46" x14ac:dyDescent="0.3">
      <c r="A33" s="19" t="s">
        <v>81</v>
      </c>
      <c r="B33" s="4">
        <f>HUNGARY2008ttl!B29/HUNGARY2008ttl!$BE$2</f>
        <v>2.9157281666630211E-4</v>
      </c>
      <c r="C33" s="4">
        <f>HUNGARY2008ttl!C29/HUNGARY2008ttl!$BE$3</f>
        <v>0</v>
      </c>
      <c r="D33" s="4">
        <f>HUNGARY2008ttl!D29/HUNGARY2008ttl!$BE$4</f>
        <v>7.8554595443832797E-4</v>
      </c>
      <c r="E33" s="4">
        <f>HUNGARY2008ttl!E29/HUNGARY2008ttl!$BE$5</f>
        <v>5.0517807527153315E-4</v>
      </c>
      <c r="F33" s="4">
        <f>HUNGARY2008ttl!F29/HUNGARY2008ttl!$BE$6</f>
        <v>5.3937432578209283E-4</v>
      </c>
      <c r="G33" s="4">
        <f>HUNGARY2008ttl!G29/HUNGARY2008ttl!$BE$7</f>
        <v>3.7045421803288812E-4</v>
      </c>
      <c r="H33" s="4">
        <f>HUNGARY2008ttl!H29/HUNGARY2008ttl!$BE$8</f>
        <v>5.8285509325681488E-4</v>
      </c>
      <c r="I33" s="4">
        <f>HUNGARY2008ttl!I29/HUNGARY2008ttl!$BE$9</f>
        <v>5.3032814053695723E-4</v>
      </c>
      <c r="J33" s="4">
        <f>HUNGARY2008ttl!J29/HUNGARY2008ttl!$BE$10</f>
        <v>4.0406761398073938E-4</v>
      </c>
      <c r="K33" s="4">
        <f>HUNGARY2008ttl!K29/HUNGARY2008ttl!$BE$11</f>
        <v>1.5075585868457714E-3</v>
      </c>
      <c r="L33" s="4">
        <f>HUNGARY2008ttl!L29/HUNGARY2008ttl!$BE$12</f>
        <v>6.9577954774329375E-4</v>
      </c>
      <c r="M33" s="4">
        <f>HUNGARY2008ttl!M29/HUNGARY2008ttl!$BE$13</f>
        <v>2.5550035486160395E-4</v>
      </c>
      <c r="N33" s="4">
        <f>HUNGARY2008ttl!N29/HUNGARY2008ttl!$BE$14</f>
        <v>5.1513937381947219E-4</v>
      </c>
      <c r="O33" s="4">
        <f>HUNGARY2008ttl!O29/HUNGARY2008ttl!$BE$15</f>
        <v>6.4683053040103509E-4</v>
      </c>
      <c r="P33" s="4">
        <f>HUNGARY2008ttl!P29/HUNGARY2008ttl!$BE$16</f>
        <v>8.393486654356216E-4</v>
      </c>
      <c r="Q33" s="4">
        <f>HUNGARY2008ttl!Q29/HUNGARY2008ttl!$BE$17</f>
        <v>4.4281895265117343E-4</v>
      </c>
      <c r="R33" s="4">
        <f>HUNGARY2008ttl!R29/HUNGARY2008ttl!$BE$18</f>
        <v>7.2192313279423868E-4</v>
      </c>
      <c r="S33" s="4">
        <f>HUNGARY2008ttl!S29/HUNGARY2008ttl!$BE$19</f>
        <v>7.3040683660799074E-4</v>
      </c>
      <c r="T33" s="4">
        <f>HUNGARY2008ttl!T29/HUNGARY2008ttl!$BE$20</f>
        <v>4.7232193463064441E-4</v>
      </c>
      <c r="U33" s="4">
        <f>HUNGARY2008ttl!U29/HUNGARY2008ttl!$BE$21</f>
        <v>7.2077026593506382E-4</v>
      </c>
      <c r="V33" s="4">
        <f>HUNGARY2008ttl!V29/HUNGARY2008ttl!$BE$22</f>
        <v>1.2109469605231294E-3</v>
      </c>
      <c r="W33" s="4">
        <f>HUNGARY2008ttl!W29/HUNGARY2008ttl!$BE$23</f>
        <v>4.2642710939276785E-4</v>
      </c>
      <c r="X33" s="4">
        <f>HUNGARY2008ttl!X29/HUNGARY2008ttl!$BE$24</f>
        <v>5.0105953213566191E-4</v>
      </c>
      <c r="Y33" s="4">
        <f>HUNGARY2008ttl!Y29/HUNGARY2008ttl!$BE$25</f>
        <v>1.6440338013349554E-4</v>
      </c>
      <c r="Z33" s="4">
        <f>HUNGARY2008ttl!Z29/HUNGARY2008ttl!$BE$26</f>
        <v>3.9086974265825918E-4</v>
      </c>
      <c r="AA33" s="4">
        <f>HUNGARY2008ttl!AA29/HUNGARY2008ttl!$BE$27</f>
        <v>5.2884174487206924E-4</v>
      </c>
      <c r="AB33" s="4">
        <f>HUNGARY2008ttl!AB29/HUNGARY2008ttl!$BE$28</f>
        <v>5.9952637416441003E-4</v>
      </c>
      <c r="AC33" s="4">
        <f>HUNGARY2008ttl!AC29/HUNGARY2008ttl!$BE$29</f>
        <v>2.7184466019417462E-3</v>
      </c>
      <c r="AD33" s="4">
        <f>HUNGARY2008ttl!AD29/HUNGARY2008ttl!$BE$30</f>
        <v>1.1631513647642679E-3</v>
      </c>
      <c r="AE33" s="4">
        <f>HUNGARY2008ttl!AE29/HUNGARY2008ttl!$BE$31</f>
        <v>9.5326951160149291E-4</v>
      </c>
      <c r="AF33" s="4">
        <f>HUNGARY2008ttl!AF29/HUNGARY2008ttl!$BE$32</f>
        <v>8.2528678715853776E-5</v>
      </c>
      <c r="AG33" s="4">
        <f>HUNGARY2008ttl!AG29/HUNGARY2008ttl!$BE$33</f>
        <v>2.3254371821902515E-4</v>
      </c>
      <c r="AH33" s="4">
        <f>HUNGARY2008ttl!AH29/HUNGARY2008ttl!$BE$34</f>
        <v>8.509914049868096E-5</v>
      </c>
      <c r="AI33" s="4">
        <f>HUNGARY2008ttl!AI29/HUNGARY2008ttl!$BE$35</f>
        <v>7.5097626914989515E-5</v>
      </c>
      <c r="AJ33" s="4">
        <f>HUNGARY2008ttl!AJ29/HUNGARY2008ttl!$BE$36</f>
        <v>8.0777619214303004E-5</v>
      </c>
      <c r="AK33" s="4">
        <f>HUNGARY2008ttl!AK29/HUNGARY2008ttl!$BE$37</f>
        <v>4.3858110241745907E-5</v>
      </c>
      <c r="AL33" s="4">
        <f>HUNGARY2008ttl!AL29/HUNGARY2008ttl!$BE$38</f>
        <v>9.9851984117660874E-5</v>
      </c>
      <c r="AM33" s="4">
        <f>HUNGARY2008ttl!AM29/HUNGARY2008ttl!$BE$39</f>
        <v>1.0252204223908137E-4</v>
      </c>
      <c r="AN33" s="4">
        <f>HUNGARY2008ttl!AN29/HUNGARY2008ttl!$BE$40</f>
        <v>4.9565648396942587E-4</v>
      </c>
      <c r="AO33" s="4">
        <f>HUNGARY2008ttl!AO29/HUNGARY2008ttl!$BE$41</f>
        <v>8.0924279773910012E-5</v>
      </c>
      <c r="AP33" s="4">
        <f>HUNGARY2008ttl!AP29/HUNGARY2008ttl!$BE$42</f>
        <v>5.9157595835305265E-5</v>
      </c>
      <c r="AQ33" s="4">
        <f>HUNGARY2008ttl!AQ29/HUNGARY2008ttl!$BE$43</f>
        <v>1.6573303722364018E-4</v>
      </c>
      <c r="AR33" s="4">
        <f>HUNGARY2008ttl!AR29/HUNGARY2008ttl!$BE$44</f>
        <v>2.4182334804425366E-4</v>
      </c>
      <c r="AS33" s="4">
        <f>HUNGARY2008ttl!AS29/HUNGARY2008ttl!$BE$45</f>
        <v>1.2349338075479157E-4</v>
      </c>
      <c r="AT33" s="4">
        <f>HUNGARY2008ttl!AT29/HUNGARY2008ttl!$BE$46</f>
        <v>0</v>
      </c>
    </row>
    <row r="34" spans="1:46" x14ac:dyDescent="0.3">
      <c r="A34" s="19" t="s">
        <v>82</v>
      </c>
      <c r="B34" s="4">
        <f>HUNGARY2008ttl!B30/HUNGARY2008ttl!$BE$2</f>
        <v>5.8314563333260422E-4</v>
      </c>
      <c r="C34" s="4">
        <f>HUNGARY2008ttl!C30/HUNGARY2008ttl!$BE$3</f>
        <v>1.6474464579901158E-3</v>
      </c>
      <c r="D34" s="4">
        <f>HUNGARY2008ttl!D30/HUNGARY2008ttl!$BE$4</f>
        <v>1.9638648860958196E-3</v>
      </c>
      <c r="E34" s="4">
        <f>HUNGARY2008ttl!E30/HUNGARY2008ttl!$BE$5</f>
        <v>7.5776711290729962E-4</v>
      </c>
      <c r="F34" s="4">
        <f>HUNGARY2008ttl!F30/HUNGARY2008ttl!$BE$6</f>
        <v>1.6181229773462784E-3</v>
      </c>
      <c r="G34" s="4">
        <f>HUNGARY2008ttl!G30/HUNGARY2008ttl!$BE$7</f>
        <v>9.6043686156674693E-4</v>
      </c>
      <c r="H34" s="4">
        <f>HUNGARY2008ttl!H30/HUNGARY2008ttl!$BE$8</f>
        <v>1.255380200860832E-3</v>
      </c>
      <c r="I34" s="4">
        <f>HUNGARY2008ttl!I30/HUNGARY2008ttl!$BE$9</f>
        <v>9.9436526350679482E-4</v>
      </c>
      <c r="J34" s="4">
        <f>HUNGARY2008ttl!J30/HUNGARY2008ttl!$BE$10</f>
        <v>9.7649673378678685E-4</v>
      </c>
      <c r="K34" s="4">
        <f>HUNGARY2008ttl!K30/HUNGARY2008ttl!$BE$11</f>
        <v>1.2788255598760682E-3</v>
      </c>
      <c r="L34" s="4">
        <f>HUNGARY2008ttl!L30/HUNGARY2008ttl!$BE$12</f>
        <v>1.0619793097134483E-3</v>
      </c>
      <c r="M34" s="4">
        <f>HUNGARY2008ttl!M30/HUNGARY2008ttl!$BE$13</f>
        <v>1.3626685592618877E-3</v>
      </c>
      <c r="N34" s="4">
        <f>HUNGARY2008ttl!N30/HUNGARY2008ttl!$BE$14</f>
        <v>1.3927842329193136E-3</v>
      </c>
      <c r="O34" s="4">
        <f>HUNGARY2008ttl!O30/HUNGARY2008ttl!$BE$15</f>
        <v>1.0540941976905757E-3</v>
      </c>
      <c r="P34" s="4">
        <f>HUNGARY2008ttl!P30/HUNGARY2008ttl!$BE$16</f>
        <v>1.1121369817021986E-3</v>
      </c>
      <c r="Q34" s="4">
        <f>HUNGARY2008ttl!Q30/HUNGARY2008ttl!$BE$17</f>
        <v>1.213651944303216E-3</v>
      </c>
      <c r="R34" s="4">
        <f>HUNGARY2008ttl!R30/HUNGARY2008ttl!$BE$18</f>
        <v>2.1481615170950517E-3</v>
      </c>
      <c r="S34" s="4">
        <f>HUNGARY2008ttl!S30/HUNGARY2008ttl!$BE$19</f>
        <v>1.8747108806271764E-3</v>
      </c>
      <c r="T34" s="4">
        <f>HUNGARY2008ttl!T30/HUNGARY2008ttl!$BE$20</f>
        <v>1.2847156621953527E-3</v>
      </c>
      <c r="U34" s="4">
        <f>HUNGARY2008ttl!U30/HUNGARY2008ttl!$BE$21</f>
        <v>1.029076622462201E-3</v>
      </c>
      <c r="V34" s="4">
        <f>HUNGARY2008ttl!V30/HUNGARY2008ttl!$BE$22</f>
        <v>1.5742310486800682E-3</v>
      </c>
      <c r="W34" s="4">
        <f>HUNGARY2008ttl!W30/HUNGARY2008ttl!$BE$23</f>
        <v>1.1939959062997501E-3</v>
      </c>
      <c r="X34" s="4">
        <f>HUNGARY2008ttl!X30/HUNGARY2008ttl!$BE$24</f>
        <v>1.0229965447769765E-3</v>
      </c>
      <c r="Y34" s="4">
        <f>HUNGARY2008ttl!Y30/HUNGARY2008ttl!$BE$25</f>
        <v>6.2473284450728303E-4</v>
      </c>
      <c r="Z34" s="4">
        <f>HUNGARY2008ttl!Z30/HUNGARY2008ttl!$BE$26</f>
        <v>1.0346552011542155E-3</v>
      </c>
      <c r="AA34" s="4">
        <f>HUNGARY2008ttl!AA30/HUNGARY2008ttl!$BE$27</f>
        <v>1.1616177054993427E-3</v>
      </c>
      <c r="AB34" s="4">
        <f>HUNGARY2008ttl!AB30/HUNGARY2008ttl!$BE$28</f>
        <v>1.5487764665913927E-3</v>
      </c>
      <c r="AC34" s="4">
        <f>HUNGARY2008ttl!AC30/HUNGARY2008ttl!$BE$29</f>
        <v>7.7669902912621332E-4</v>
      </c>
      <c r="AD34" s="4">
        <f>HUNGARY2008ttl!AD30/HUNGARY2008ttl!$BE$30</f>
        <v>1.6129032258064516E-2</v>
      </c>
      <c r="AE34" s="4">
        <f>HUNGARY2008ttl!AE30/HUNGARY2008ttl!$BE$31</f>
        <v>1.2169398020444591E-3</v>
      </c>
      <c r="AF34" s="4">
        <f>HUNGARY2008ttl!AF30/HUNGARY2008ttl!$BE$32</f>
        <v>2.3108030040439056E-3</v>
      </c>
      <c r="AG34" s="4">
        <f>HUNGARY2008ttl!AG30/HUNGARY2008ttl!$BE$33</f>
        <v>9.4567778742403561E-4</v>
      </c>
      <c r="AH34" s="4">
        <f>HUNGARY2008ttl!AH30/HUNGARY2008ttl!$BE$34</f>
        <v>7.0915950415567468E-4</v>
      </c>
      <c r="AI34" s="4">
        <f>HUNGARY2008ttl!AI30/HUNGARY2008ttl!$BE$35</f>
        <v>3.7548813457494753E-4</v>
      </c>
      <c r="AJ34" s="4">
        <f>HUNGARY2008ttl!AJ30/HUNGARY2008ttl!$BE$36</f>
        <v>1.2655160343574138E-3</v>
      </c>
      <c r="AK34" s="4">
        <f>HUNGARY2008ttl!AK30/HUNGARY2008ttl!$BE$37</f>
        <v>3.3332163783726887E-4</v>
      </c>
      <c r="AL34" s="4">
        <f>HUNGARY2008ttl!AL30/HUNGARY2008ttl!$BE$38</f>
        <v>6.4022742757794326E-4</v>
      </c>
      <c r="AM34" s="4">
        <f>HUNGARY2008ttl!AM30/HUNGARY2008ttl!$BE$39</f>
        <v>1.7823062727717223E-3</v>
      </c>
      <c r="AN34" s="4">
        <f>HUNGARY2008ttl!AN30/HUNGARY2008ttl!$BE$40</f>
        <v>7.8131114183601618E-3</v>
      </c>
      <c r="AO34" s="4">
        <f>HUNGARY2008ttl!AO30/HUNGARY2008ttl!$BE$41</f>
        <v>7.4699335175916937E-4</v>
      </c>
      <c r="AP34" s="4">
        <f>HUNGARY2008ttl!AP30/HUNGARY2008ttl!$BE$42</f>
        <v>7.4538570752484632E-4</v>
      </c>
      <c r="AQ34" s="4">
        <f>HUNGARY2008ttl!AQ30/HUNGARY2008ttl!$BE$43</f>
        <v>4.8615024252267791E-4</v>
      </c>
      <c r="AR34" s="4">
        <f>HUNGARY2008ttl!AR30/HUNGARY2008ttl!$BE$44</f>
        <v>9.6729339217701464E-4</v>
      </c>
      <c r="AS34" s="4">
        <f>HUNGARY2008ttl!AS30/HUNGARY2008ttl!$BE$45</f>
        <v>7.6565896067970777E-4</v>
      </c>
      <c r="AT34" s="4">
        <f>HUNGARY2008ttl!AT30/HUNGARY2008ttl!$BE$46</f>
        <v>0</v>
      </c>
    </row>
    <row r="35" spans="1:46" x14ac:dyDescent="0.3">
      <c r="A35" s="19" t="s">
        <v>83</v>
      </c>
      <c r="B35" s="4">
        <f>HUNGARY2008ttl!B31/HUNGARY2008ttl!$BE$2</f>
        <v>5.9699534212425357E-3</v>
      </c>
      <c r="C35" s="4">
        <f>HUNGARY2008ttl!C31/HUNGARY2008ttl!$BE$3</f>
        <v>8.237232289950578E-3</v>
      </c>
      <c r="D35" s="4">
        <f>HUNGARY2008ttl!D31/HUNGARY2008ttl!$BE$4</f>
        <v>5.8915946582874593E-3</v>
      </c>
      <c r="E35" s="4">
        <f>HUNGARY2008ttl!E31/HUNGARY2008ttl!$BE$5</f>
        <v>1.0861328618337961E-2</v>
      </c>
      <c r="F35" s="4">
        <f>HUNGARY2008ttl!F31/HUNGARY2008ttl!$BE$6</f>
        <v>4.3149946062567427E-3</v>
      </c>
      <c r="G35" s="4">
        <f>HUNGARY2008ttl!G31/HUNGARY2008ttl!$BE$7</f>
        <v>1.2046622349365767E-2</v>
      </c>
      <c r="H35" s="4">
        <f>HUNGARY2008ttl!H31/HUNGARY2008ttl!$BE$8</f>
        <v>4.5283357245337157E-3</v>
      </c>
      <c r="I35" s="4">
        <f>HUNGARY2008ttl!I31/HUNGARY2008ttl!$BE$9</f>
        <v>6.2313556513092479E-3</v>
      </c>
      <c r="J35" s="4">
        <f>HUNGARY2008ttl!J31/HUNGARY2008ttl!$BE$10</f>
        <v>5.9936696073809685E-3</v>
      </c>
      <c r="K35" s="4">
        <f>HUNGARY2008ttl!K31/HUNGARY2008ttl!$BE$11</f>
        <v>1.052171924060635E-2</v>
      </c>
      <c r="L35" s="4">
        <f>HUNGARY2008ttl!L31/HUNGARY2008ttl!$BE$12</f>
        <v>4.2296072507552861E-3</v>
      </c>
      <c r="M35" s="4">
        <f>HUNGARY2008ttl!M31/HUNGARY2008ttl!$BE$13</f>
        <v>2.3846699787083035E-3</v>
      </c>
      <c r="N35" s="4">
        <f>HUNGARY2008ttl!N31/HUNGARY2008ttl!$BE$14</f>
        <v>6.6777326235857503E-3</v>
      </c>
      <c r="O35" s="4">
        <f>HUNGARY2008ttl!O31/HUNGARY2008ttl!$BE$15</f>
        <v>1.4541708590867716E-2</v>
      </c>
      <c r="P35" s="4">
        <f>HUNGARY2008ttl!P31/HUNGARY2008ttl!$BE$16</f>
        <v>3.7560852778244064E-3</v>
      </c>
      <c r="Q35" s="4">
        <f>HUNGARY2008ttl!Q31/HUNGARY2008ttl!$BE$17</f>
        <v>5.4122316435143416E-3</v>
      </c>
      <c r="R35" s="4">
        <f>HUNGARY2008ttl!R31/HUNGARY2008ttl!$BE$18</f>
        <v>7.1620057137574775E-3</v>
      </c>
      <c r="S35" s="4">
        <f>HUNGARY2008ttl!S31/HUNGARY2008ttl!$BE$19</f>
        <v>6.2571519002751208E-3</v>
      </c>
      <c r="T35" s="4">
        <f>HUNGARY2008ttl!T31/HUNGARY2008ttl!$BE$20</f>
        <v>4.4209333081428317E-3</v>
      </c>
      <c r="U35" s="4">
        <f>HUNGARY2008ttl!U31/HUNGARY2008ttl!$BE$21</f>
        <v>3.1413917948846137E-3</v>
      </c>
      <c r="V35" s="4">
        <f>HUNGARY2008ttl!V31/HUNGARY2008ttl!$BE$22</f>
        <v>4.3594090578832657E-3</v>
      </c>
      <c r="W35" s="4">
        <f>HUNGARY2008ttl!W31/HUNGARY2008ttl!$BE$23</f>
        <v>5.7994086877416421E-3</v>
      </c>
      <c r="X35" s="4">
        <f>HUNGARY2008ttl!X31/HUNGARY2008ttl!$BE$24</f>
        <v>1.3330271302859173E-2</v>
      </c>
      <c r="Y35" s="4">
        <f>HUNGARY2008ttl!Y31/HUNGARY2008ttl!$BE$25</f>
        <v>7.4967941340873968E-3</v>
      </c>
      <c r="Z35" s="4">
        <f>HUNGARY2008ttl!Z31/HUNGARY2008ttl!$BE$26</f>
        <v>1.0139620971311311E-2</v>
      </c>
      <c r="AA35" s="4">
        <f>HUNGARY2008ttl!AA31/HUNGARY2008ttl!$BE$27</f>
        <v>1.9557973894170511E-2</v>
      </c>
      <c r="AB35" s="4">
        <f>HUNGARY2008ttl!AB31/HUNGARY2008ttl!$BE$28</f>
        <v>0.12074461175671219</v>
      </c>
      <c r="AC35" s="4">
        <f>HUNGARY2008ttl!AC31/HUNGARY2008ttl!$BE$29</f>
        <v>8.5436893203883452E-2</v>
      </c>
      <c r="AD35" s="4">
        <f>HUNGARY2008ttl!AD31/HUNGARY2008ttl!$BE$30</f>
        <v>0.29094292803970218</v>
      </c>
      <c r="AE35" s="4">
        <f>HUNGARY2008ttl!AE31/HUNGARY2008ttl!$BE$31</f>
        <v>3.6001135810481907E-2</v>
      </c>
      <c r="AF35" s="4">
        <f>HUNGARY2008ttl!AF31/HUNGARY2008ttl!$BE$32</f>
        <v>1.1223900305356112E-2</v>
      </c>
      <c r="AG35" s="4">
        <f>HUNGARY2008ttl!AG31/HUNGARY2008ttl!$BE$33</f>
        <v>3.5346645169291825E-3</v>
      </c>
      <c r="AH35" s="4">
        <f>HUNGARY2008ttl!AH31/HUNGARY2008ttl!$BE$34</f>
        <v>4.0563923637704589E-3</v>
      </c>
      <c r="AI35" s="4">
        <f>HUNGARY2008ttl!AI31/HUNGARY2008ttl!$BE$35</f>
        <v>3.7548813457494753E-3</v>
      </c>
      <c r="AJ35" s="4">
        <f>HUNGARY2008ttl!AJ31/HUNGARY2008ttl!$BE$36</f>
        <v>2.4502544495005243E-3</v>
      </c>
      <c r="AK35" s="4">
        <f>HUNGARY2008ttl!AK31/HUNGARY2008ttl!$BE$37</f>
        <v>9.4733518122171157E-4</v>
      </c>
      <c r="AL35" s="4">
        <f>HUNGARY2008ttl!AL31/HUNGARY2008ttl!$BE$38</f>
        <v>2.5080468951906585E-3</v>
      </c>
      <c r="AM35" s="4">
        <f>HUNGARY2008ttl!AM31/HUNGARY2008ttl!$BE$39</f>
        <v>3.2255011750603291E-3</v>
      </c>
      <c r="AN35" s="4">
        <f>HUNGARY2008ttl!AN31/HUNGARY2008ttl!$BE$40</f>
        <v>4.9696084313776649E-3</v>
      </c>
      <c r="AO35" s="4">
        <f>HUNGARY2008ttl!AO31/HUNGARY2008ttl!$BE$41</f>
        <v>1.2499688752770102E-2</v>
      </c>
      <c r="AP35" s="4">
        <f>HUNGARY2008ttl!AP31/HUNGARY2008ttl!$BE$42</f>
        <v>1.1358258400378611E-3</v>
      </c>
      <c r="AQ35" s="4">
        <f>HUNGARY2008ttl!AQ31/HUNGARY2008ttl!$BE$43</f>
        <v>1.4584507275680334E-3</v>
      </c>
      <c r="AR35" s="4">
        <f>HUNGARY2008ttl!AR31/HUNGARY2008ttl!$BE$44</f>
        <v>3.8994014872135905E-3</v>
      </c>
      <c r="AS35" s="4">
        <f>HUNGARY2008ttl!AS31/HUNGARY2008ttl!$BE$45</f>
        <v>6.8662319699664114E-3</v>
      </c>
      <c r="AT35" s="4">
        <f>HUNGARY2008ttl!AT31/HUNGARY2008ttl!$BE$46</f>
        <v>0</v>
      </c>
    </row>
    <row r="36" spans="1:46" x14ac:dyDescent="0.3">
      <c r="A36" s="19" t="s">
        <v>84</v>
      </c>
      <c r="B36" s="4">
        <f>HUNGARY2008ttl!B32/HUNGARY2008ttl!$BE$2</f>
        <v>1.4214174812482228E-3</v>
      </c>
      <c r="C36" s="4">
        <f>HUNGARY2008ttl!C32/HUNGARY2008ttl!$BE$3</f>
        <v>1.6474464579901158E-3</v>
      </c>
      <c r="D36" s="4">
        <f>HUNGARY2008ttl!D32/HUNGARY2008ttl!$BE$4</f>
        <v>1.1783189316574919E-3</v>
      </c>
      <c r="E36" s="4">
        <f>HUNGARY2008ttl!E32/HUNGARY2008ttl!$BE$5</f>
        <v>1.5155342258145992E-3</v>
      </c>
      <c r="F36" s="4">
        <f>HUNGARY2008ttl!F32/HUNGARY2008ttl!$BE$6</f>
        <v>5.3937432578209283E-4</v>
      </c>
      <c r="G36" s="4">
        <f>HUNGARY2008ttl!G32/HUNGARY2008ttl!$BE$7</f>
        <v>1.3789129226779724E-3</v>
      </c>
      <c r="H36" s="4">
        <f>HUNGARY2008ttl!H32/HUNGARY2008ttl!$BE$8</f>
        <v>1.3450502152080343E-3</v>
      </c>
      <c r="I36" s="4">
        <f>HUNGARY2008ttl!I32/HUNGARY2008ttl!$BE$9</f>
        <v>1.1269472986410341E-3</v>
      </c>
      <c r="J36" s="4">
        <f>HUNGARY2008ttl!J32/HUNGARY2008ttl!$BE$10</f>
        <v>1.3468920466024647E-3</v>
      </c>
      <c r="K36" s="4">
        <f>HUNGARY2008ttl!K32/HUNGARY2008ttl!$BE$11</f>
        <v>5.61435611652908E-4</v>
      </c>
      <c r="L36" s="4">
        <f>HUNGARY2008ttl!L32/HUNGARY2008ttl!$BE$12</f>
        <v>1.354939119289572E-3</v>
      </c>
      <c r="M36" s="4">
        <f>HUNGARY2008ttl!M32/HUNGARY2008ttl!$BE$13</f>
        <v>2.4414478353442155E-3</v>
      </c>
      <c r="N36" s="4">
        <f>HUNGARY2008ttl!N32/HUNGARY2008ttl!$BE$14</f>
        <v>1.1829126361780472E-3</v>
      </c>
      <c r="O36" s="4">
        <f>HUNGARY2008ttl!O32/HUNGARY2008ttl!$BE$15</f>
        <v>1.2217910018686219E-3</v>
      </c>
      <c r="P36" s="4">
        <f>HUNGARY2008ttl!P32/HUNGARY2008ttl!$BE$16</f>
        <v>4.8262548262548237E-4</v>
      </c>
      <c r="Q36" s="4">
        <f>HUNGARY2008ttl!Q32/HUNGARY2008ttl!$BE$17</f>
        <v>1.000442818952651E-3</v>
      </c>
      <c r="R36" s="4">
        <f>HUNGARY2008ttl!R32/HUNGARY2008ttl!$BE$18</f>
        <v>3.8737338832861595E-4</v>
      </c>
      <c r="S36" s="4">
        <f>HUNGARY2008ttl!S32/HUNGARY2008ttl!$BE$19</f>
        <v>7.9127407299198996E-4</v>
      </c>
      <c r="T36" s="4">
        <f>HUNGARY2008ttl!T32/HUNGARY2008ttl!$BE$20</f>
        <v>1.0580011335726434E-3</v>
      </c>
      <c r="U36" s="4">
        <f>HUNGARY2008ttl!U32/HUNGARY2008ttl!$BE$21</f>
        <v>5.2495406651917938E-4</v>
      </c>
      <c r="V36" s="4">
        <f>HUNGARY2008ttl!V32/HUNGARY2008ttl!$BE$22</f>
        <v>7.2656817631387759E-4</v>
      </c>
      <c r="W36" s="4">
        <f>HUNGARY2008ttl!W32/HUNGARY2008ttl!$BE$23</f>
        <v>1.3361382760973394E-3</v>
      </c>
      <c r="X36" s="4">
        <f>HUNGARY2008ttl!X32/HUNGARY2008ttl!$BE$24</f>
        <v>3.1316220758478871E-3</v>
      </c>
      <c r="Y36" s="4">
        <f>HUNGARY2008ttl!Y32/HUNGARY2008ttl!$BE$25</f>
        <v>4.0772038273106893E-3</v>
      </c>
      <c r="Z36" s="4">
        <f>HUNGARY2008ttl!Z32/HUNGARY2008ttl!$BE$26</f>
        <v>1.6382040684941744E-3</v>
      </c>
      <c r="AA36" s="4">
        <f>HUNGARY2008ttl!AA32/HUNGARY2008ttl!$BE$27</f>
        <v>3.7416317671873571E-3</v>
      </c>
      <c r="AB36" s="4">
        <f>HUNGARY2008ttl!AB32/HUNGARY2008ttl!$BE$28</f>
        <v>2.1682870532279495E-3</v>
      </c>
      <c r="AC36" s="4">
        <f>HUNGARY2008ttl!AC32/HUNGARY2008ttl!$BE$29</f>
        <v>2.3300970873786396E-3</v>
      </c>
      <c r="AD36" s="4">
        <f>HUNGARY2008ttl!AD32/HUNGARY2008ttl!$BE$30</f>
        <v>3.4119106699751862E-3</v>
      </c>
      <c r="AE36" s="4">
        <f>HUNGARY2008ttl!AE32/HUNGARY2008ttl!$BE$31</f>
        <v>4.60408891773487E-3</v>
      </c>
      <c r="AF36" s="4">
        <f>HUNGARY2008ttl!AF32/HUNGARY2008ttl!$BE$32</f>
        <v>7.1387307089213509E-2</v>
      </c>
      <c r="AG36" s="4">
        <f>HUNGARY2008ttl!AG32/HUNGARY2008ttl!$BE$33</f>
        <v>2.4339575840257965E-3</v>
      </c>
      <c r="AH36" s="4">
        <f>HUNGARY2008ttl!AH32/HUNGARY2008ttl!$BE$34</f>
        <v>1.5402944430261252E-2</v>
      </c>
      <c r="AI36" s="4">
        <f>HUNGARY2008ttl!AI32/HUNGARY2008ttl!$BE$35</f>
        <v>1.1621357765094625E-2</v>
      </c>
      <c r="AJ36" s="4">
        <f>HUNGARY2008ttl!AJ32/HUNGARY2008ttl!$BE$36</f>
        <v>1.938662861143272E-3</v>
      </c>
      <c r="AK36" s="4">
        <f>HUNGARY2008ttl!AK32/HUNGARY2008ttl!$BE$37</f>
        <v>1.9376513104803341E-2</v>
      </c>
      <c r="AL36" s="4">
        <f>HUNGARY2008ttl!AL32/HUNGARY2008ttl!$BE$38</f>
        <v>4.0293212414538445E-3</v>
      </c>
      <c r="AM36" s="4">
        <f>HUNGARY2008ttl!AM32/HUNGARY2008ttl!$BE$39</f>
        <v>3.7302250753142681E-3</v>
      </c>
      <c r="AN36" s="4">
        <f>HUNGARY2008ttl!AN32/HUNGARY2008ttl!$BE$40</f>
        <v>3.626118487986853E-3</v>
      </c>
      <c r="AO36" s="4">
        <f>HUNGARY2008ttl!AO32/HUNGARY2008ttl!$BE$41</f>
        <v>1.4043475013072383E-2</v>
      </c>
      <c r="AP36" s="4">
        <f>HUNGARY2008ttl!AP32/HUNGARY2008ttl!$BE$42</f>
        <v>3.7150970184571704E-3</v>
      </c>
      <c r="AQ36" s="4">
        <f>HUNGARY2008ttl!AQ32/HUNGARY2008ttl!$BE$43</f>
        <v>4.4747920050382849E-3</v>
      </c>
      <c r="AR36" s="4">
        <f>HUNGARY2008ttl!AR32/HUNGARY2008ttl!$BE$44</f>
        <v>9.4008826552203616E-3</v>
      </c>
      <c r="AS36" s="4">
        <f>HUNGARY2008ttl!AS32/HUNGARY2008ttl!$BE$45</f>
        <v>5.6559968385694534E-3</v>
      </c>
      <c r="AT36" s="4">
        <f>HUNGARY2008ttl!AT32/HUNGARY2008ttl!$BE$46</f>
        <v>0</v>
      </c>
    </row>
    <row r="37" spans="1:46" x14ac:dyDescent="0.3">
      <c r="A37" s="19" t="s">
        <v>85</v>
      </c>
      <c r="B37" s="4">
        <f>HUNGARY2008ttl!B33/HUNGARY2008ttl!$BE$2</f>
        <v>1.9681165124975394E-4</v>
      </c>
      <c r="C37" s="4">
        <f>HUNGARY2008ttl!C33/HUNGARY2008ttl!$BE$3</f>
        <v>0</v>
      </c>
      <c r="D37" s="4">
        <f>HUNGARY2008ttl!D33/HUNGARY2008ttl!$BE$4</f>
        <v>3.9277297721916392E-3</v>
      </c>
      <c r="E37" s="4">
        <f>HUNGARY2008ttl!E33/HUNGARY2008ttl!$BE$5</f>
        <v>5.0517807527153315E-4</v>
      </c>
      <c r="F37" s="4">
        <f>HUNGARY2008ttl!F33/HUNGARY2008ttl!$BE$6</f>
        <v>1.0787486515641857E-3</v>
      </c>
      <c r="G37" s="4">
        <f>HUNGARY2008ttl!G33/HUNGARY2008ttl!$BE$7</f>
        <v>5.8312238023695351E-4</v>
      </c>
      <c r="H37" s="4">
        <f>HUNGARY2008ttl!H33/HUNGARY2008ttl!$BE$8</f>
        <v>5.8285509325681488E-4</v>
      </c>
      <c r="I37" s="4">
        <f>HUNGARY2008ttl!I33/HUNGARY2008ttl!$BE$9</f>
        <v>5.3032814053695723E-4</v>
      </c>
      <c r="J37" s="4">
        <f>HUNGARY2008ttl!J33/HUNGARY2008ttl!$BE$10</f>
        <v>5.7242911980604752E-4</v>
      </c>
      <c r="K37" s="4">
        <f>HUNGARY2008ttl!K33/HUNGARY2008ttl!$BE$11</f>
        <v>1.4555738079890206E-4</v>
      </c>
      <c r="L37" s="4">
        <f>HUNGARY2008ttl!L33/HUNGARY2008ttl!$BE$12</f>
        <v>3.8450975006866235E-4</v>
      </c>
      <c r="M37" s="4">
        <f>HUNGARY2008ttl!M33/HUNGARY2008ttl!$BE$13</f>
        <v>1.0220014194464158E-3</v>
      </c>
      <c r="N37" s="4">
        <f>HUNGARY2008ttl!N33/HUNGARY2008ttl!$BE$14</f>
        <v>6.4869402629118712E-4</v>
      </c>
      <c r="O37" s="4">
        <f>HUNGARY2008ttl!O33/HUNGARY2008ttl!$BE$15</f>
        <v>4.5517703991183948E-4</v>
      </c>
      <c r="P37" s="4">
        <f>HUNGARY2008ttl!P33/HUNGARY2008ttl!$BE$16</f>
        <v>4.8262548262548237E-4</v>
      </c>
      <c r="Q37" s="4">
        <f>HUNGARY2008ttl!Q33/HUNGARY2008ttl!$BE$17</f>
        <v>6.7242877995178174E-4</v>
      </c>
      <c r="R37" s="4">
        <f>HUNGARY2008ttl!R33/HUNGARY2008ttl!$BE$18</f>
        <v>5.1943249798609866E-4</v>
      </c>
      <c r="S37" s="4">
        <f>HUNGARY2008ttl!S33/HUNGARY2008ttl!$BE$19</f>
        <v>6.938864947775913E-4</v>
      </c>
      <c r="T37" s="4">
        <f>HUNGARY2008ttl!T33/HUNGARY2008ttl!$BE$20</f>
        <v>9.824296240317405E-4</v>
      </c>
      <c r="U37" s="4">
        <f>HUNGARY2008ttl!U33/HUNGARY2008ttl!$BE$21</f>
        <v>4.4996062844501099E-4</v>
      </c>
      <c r="V37" s="4">
        <f>HUNGARY2008ttl!V33/HUNGARY2008ttl!$BE$22</f>
        <v>6.0547348026156471E-4</v>
      </c>
      <c r="W37" s="4">
        <f>HUNGARY2008ttl!W33/HUNGARY2008ttl!$BE$23</f>
        <v>6.5385490106891072E-4</v>
      </c>
      <c r="X37" s="4">
        <f>HUNGARY2008ttl!X33/HUNGARY2008ttl!$BE$24</f>
        <v>3.1316220758478868E-4</v>
      </c>
      <c r="Y37" s="4">
        <f>HUNGARY2008ttl!Y33/HUNGARY2008ttl!$BE$25</f>
        <v>2.3016473218689373E-4</v>
      </c>
      <c r="Z37" s="4">
        <f>HUNGARY2008ttl!Z33/HUNGARY2008ttl!$BE$26</f>
        <v>8.794569209810832E-4</v>
      </c>
      <c r="AA37" s="4">
        <f>HUNGARY2008ttl!AA33/HUNGARY2008ttl!$BE$27</f>
        <v>1.6354354537951273E-3</v>
      </c>
      <c r="AB37" s="4">
        <f>HUNGARY2008ttl!AB33/HUNGARY2008ttl!$BE$28</f>
        <v>9.5924219866305597E-4</v>
      </c>
      <c r="AC37" s="4">
        <f>HUNGARY2008ttl!AC33/HUNGARY2008ttl!$BE$29</f>
        <v>3.8834951456310666E-4</v>
      </c>
      <c r="AD37" s="4">
        <f>HUNGARY2008ttl!AD33/HUNGARY2008ttl!$BE$30</f>
        <v>1.7059553349875931E-3</v>
      </c>
      <c r="AE37" s="4">
        <f>HUNGARY2008ttl!AE33/HUNGARY2008ttl!$BE$31</f>
        <v>1.7442803829303911E-3</v>
      </c>
      <c r="AF37" s="4">
        <f>HUNGARY2008ttl!AF33/HUNGARY2008ttl!$BE$32</f>
        <v>1.402987538169514E-3</v>
      </c>
      <c r="AG37" s="4">
        <f>HUNGARY2008ttl!AG33/HUNGARY2008ttl!$BE$33</f>
        <v>3.0943817437678281E-2</v>
      </c>
      <c r="AH37" s="4">
        <f>HUNGARY2008ttl!AH33/HUNGARY2008ttl!$BE$34</f>
        <v>1.1062888264828524E-3</v>
      </c>
      <c r="AI37" s="4">
        <f>HUNGARY2008ttl!AI33/HUNGARY2008ttl!$BE$35</f>
        <v>6.0078101531991612E-4</v>
      </c>
      <c r="AJ37" s="4">
        <f>HUNGARY2008ttl!AJ33/HUNGARY2008ttl!$BE$36</f>
        <v>2.8541425455720394E-3</v>
      </c>
      <c r="AK37" s="4">
        <f>HUNGARY2008ttl!AK33/HUNGARY2008ttl!$BE$37</f>
        <v>1.7894108978632327E-3</v>
      </c>
      <c r="AL37" s="4">
        <f>HUNGARY2008ttl!AL33/HUNGARY2008ttl!$BE$38</f>
        <v>5.5799638183398723E-4</v>
      </c>
      <c r="AM37" s="4">
        <f>HUNGARY2008ttl!AM33/HUNGARY2008ttl!$BE$39</f>
        <v>4.2980394630999499E-3</v>
      </c>
      <c r="AN37" s="4">
        <f>HUNGARY2008ttl!AN33/HUNGARY2008ttl!$BE$40</f>
        <v>2.6974147601283496E-2</v>
      </c>
      <c r="AO37" s="4">
        <f>HUNGARY2008ttl!AO33/HUNGARY2008ttl!$BE$41</f>
        <v>5.3410024650780603E-3</v>
      </c>
      <c r="AP37" s="4">
        <f>HUNGARY2008ttl!AP33/HUNGARY2008ttl!$BE$42</f>
        <v>3.2063416942735455E-3</v>
      </c>
      <c r="AQ37" s="4">
        <f>HUNGARY2008ttl!AQ33/HUNGARY2008ttl!$BE$43</f>
        <v>9.5130763366369463E-3</v>
      </c>
      <c r="AR37" s="4">
        <f>HUNGARY2008ttl!AR33/HUNGARY2008ttl!$BE$44</f>
        <v>4.3830481833020971E-3</v>
      </c>
      <c r="AS37" s="4">
        <f>HUNGARY2008ttl!AS33/HUNGARY2008ttl!$BE$45</f>
        <v>1.6572811697293025E-2</v>
      </c>
      <c r="AT37" s="4">
        <f>HUNGARY2008ttl!AT33/HUNGARY2008ttl!$BE$46</f>
        <v>0</v>
      </c>
    </row>
    <row r="38" spans="1:46" x14ac:dyDescent="0.3">
      <c r="A38" s="19" t="s">
        <v>86</v>
      </c>
      <c r="B38" s="4">
        <f>HUNGARY2008ttl!B34/HUNGARY2008ttl!$BE$2</f>
        <v>7.4351068249907035E-4</v>
      </c>
      <c r="C38" s="4">
        <f>HUNGARY2008ttl!C34/HUNGARY2008ttl!$BE$3</f>
        <v>3.2948929159802316E-3</v>
      </c>
      <c r="D38" s="4">
        <f>HUNGARY2008ttl!D34/HUNGARY2008ttl!$BE$4</f>
        <v>0</v>
      </c>
      <c r="E38" s="4">
        <f>HUNGARY2008ttl!E34/HUNGARY2008ttl!$BE$5</f>
        <v>1.0103561505430663E-3</v>
      </c>
      <c r="F38" s="4">
        <f>HUNGARY2008ttl!F34/HUNGARY2008ttl!$BE$6</f>
        <v>5.3937432578209283E-4</v>
      </c>
      <c r="G38" s="4">
        <f>HUNGARY2008ttl!G34/HUNGARY2008ttl!$BE$7</f>
        <v>6.311442233152908E-3</v>
      </c>
      <c r="H38" s="4">
        <f>HUNGARY2008ttl!H34/HUNGARY2008ttl!$BE$8</f>
        <v>1.1208751793400286E-3</v>
      </c>
      <c r="I38" s="4">
        <f>HUNGARY2008ttl!I34/HUNGARY2008ttl!$BE$9</f>
        <v>1.7235664567451111E-3</v>
      </c>
      <c r="J38" s="4">
        <f>HUNGARY2008ttl!J34/HUNGARY2008ttl!$BE$10</f>
        <v>4.6467775607785039E-3</v>
      </c>
      <c r="K38" s="4">
        <f>HUNGARY2008ttl!K34/HUNGARY2008ttl!$BE$11</f>
        <v>6.0302343473830856E-4</v>
      </c>
      <c r="L38" s="4">
        <f>HUNGARY2008ttl!L34/HUNGARY2008ttl!$BE$12</f>
        <v>2.3619884647074971E-3</v>
      </c>
      <c r="M38" s="4">
        <f>HUNGARY2008ttl!M34/HUNGARY2008ttl!$BE$13</f>
        <v>9.7657913413768619E-3</v>
      </c>
      <c r="N38" s="4">
        <f>HUNGARY2008ttl!N34/HUNGARY2008ttl!$BE$14</f>
        <v>3.854005685612347E-3</v>
      </c>
      <c r="O38" s="4">
        <f>HUNGARY2008ttl!O34/HUNGARY2008ttl!$BE$15</f>
        <v>1.5811412965358635E-3</v>
      </c>
      <c r="P38" s="4">
        <f>HUNGARY2008ttl!P34/HUNGARY2008ttl!$BE$16</f>
        <v>3.5672318281013918E-4</v>
      </c>
      <c r="Q38" s="4">
        <f>HUNGARY2008ttl!Q34/HUNGARY2008ttl!$BE$17</f>
        <v>1.2464533482033028E-3</v>
      </c>
      <c r="R38" s="4">
        <f>HUNGARY2008ttl!R34/HUNGARY2008ttl!$BE$18</f>
        <v>2.4959171725264231E-3</v>
      </c>
      <c r="S38" s="4">
        <f>HUNGARY2008ttl!S34/HUNGARY2008ttl!$BE$19</f>
        <v>1.6068950405375797E-3</v>
      </c>
      <c r="T38" s="4">
        <f>HUNGARY2008ttl!T34/HUNGARY2008ttl!$BE$20</f>
        <v>9.4464386926128882E-4</v>
      </c>
      <c r="U38" s="4">
        <f>HUNGARY2008ttl!U34/HUNGARY2008ttl!$BE$21</f>
        <v>1.1207352689972957E-3</v>
      </c>
      <c r="V38" s="4">
        <f>HUNGARY2008ttl!V34/HUNGARY2008ttl!$BE$22</f>
        <v>6.0547348026156471E-4</v>
      </c>
      <c r="W38" s="4">
        <f>HUNGARY2008ttl!W34/HUNGARY2008ttl!$BE$23</f>
        <v>2.0184216511257677E-3</v>
      </c>
      <c r="X38" s="4">
        <f>HUNGARY2008ttl!X34/HUNGARY2008ttl!$BE$24</f>
        <v>1.1273839473052395E-3</v>
      </c>
      <c r="Y38" s="4">
        <f>HUNGARY2008ttl!Y34/HUNGARY2008ttl!$BE$25</f>
        <v>2.3345279978956367E-3</v>
      </c>
      <c r="Z38" s="4">
        <f>HUNGARY2008ttl!Z34/HUNGARY2008ttl!$BE$26</f>
        <v>1.1496168901713505E-3</v>
      </c>
      <c r="AA38" s="4">
        <f>HUNGARY2008ttl!AA34/HUNGARY2008ttl!$BE$27</f>
        <v>1.408308623483019E-2</v>
      </c>
      <c r="AB38" s="4">
        <f>HUNGARY2008ttl!AB34/HUNGARY2008ttl!$BE$28</f>
        <v>1.9884291409786267E-3</v>
      </c>
      <c r="AC38" s="4">
        <f>HUNGARY2008ttl!AC34/HUNGARY2008ttl!$BE$29</f>
        <v>1.5533980582524266E-3</v>
      </c>
      <c r="AD38" s="4">
        <f>HUNGARY2008ttl!AD34/HUNGARY2008ttl!$BE$30</f>
        <v>2.1712158808932999E-3</v>
      </c>
      <c r="AE38" s="4">
        <f>HUNGARY2008ttl!AE34/HUNGARY2008ttl!$BE$31</f>
        <v>2.0687976634755803E-3</v>
      </c>
      <c r="AF38" s="4">
        <f>HUNGARY2008ttl!AF34/HUNGARY2008ttl!$BE$32</f>
        <v>4.9517207229512264E-3</v>
      </c>
      <c r="AG38" s="4">
        <f>HUNGARY2008ttl!AG34/HUNGARY2008ttl!$BE$33</f>
        <v>5.0539501426268138E-3</v>
      </c>
      <c r="AH38" s="4">
        <f>HUNGARY2008ttl!AH34/HUNGARY2008ttl!$BE$34</f>
        <v>0.117096417326185</v>
      </c>
      <c r="AI38" s="4">
        <f>HUNGARY2008ttl!AI34/HUNGARY2008ttl!$BE$35</f>
        <v>2.2303995193751883E-2</v>
      </c>
      <c r="AJ38" s="4">
        <f>HUNGARY2008ttl!AJ34/HUNGARY2008ttl!$BE$36</f>
        <v>3.7965481030722411E-3</v>
      </c>
      <c r="AK38" s="4">
        <f>HUNGARY2008ttl!AK34/HUNGARY2008ttl!$BE$37</f>
        <v>3.2542717799375464E-3</v>
      </c>
      <c r="AL38" s="4">
        <f>HUNGARY2008ttl!AL34/HUNGARY2008ttl!$BE$38</f>
        <v>3.8178699809693862E-3</v>
      </c>
      <c r="AM38" s="4">
        <f>HUNGARY2008ttl!AM34/HUNGARY2008ttl!$BE$39</f>
        <v>1.2957208876831593E-2</v>
      </c>
      <c r="AN38" s="4">
        <f>HUNGARY2008ttl!AN34/HUNGARY2008ttl!$BE$40</f>
        <v>1.527404586126836E-2</v>
      </c>
      <c r="AO38" s="4">
        <f>HUNGARY2008ttl!AO34/HUNGARY2008ttl!$BE$41</f>
        <v>2.3343542242474044E-3</v>
      </c>
      <c r="AP38" s="4">
        <f>HUNGARY2008ttl!AP34/HUNGARY2008ttl!$BE$42</f>
        <v>1.3464268812115479E-2</v>
      </c>
      <c r="AQ38" s="4">
        <f>HUNGARY2008ttl!AQ34/HUNGARY2008ttl!$BE$43</f>
        <v>1.3700597743820922E-3</v>
      </c>
      <c r="AR38" s="4">
        <f>HUNGARY2008ttl!AR34/HUNGARY2008ttl!$BE$44</f>
        <v>2.7900368780605766E-2</v>
      </c>
      <c r="AS38" s="4">
        <f>HUNGARY2008ttl!AS34/HUNGARY2008ttl!$BE$45</f>
        <v>2.9860699466508604E-2</v>
      </c>
      <c r="AT38" s="4">
        <f>HUNGARY2008ttl!AT34/HUNGARY2008ttl!$BE$46</f>
        <v>0</v>
      </c>
    </row>
    <row r="39" spans="1:46" x14ac:dyDescent="0.3">
      <c r="A39" s="19" t="s">
        <v>87</v>
      </c>
      <c r="B39" s="4">
        <f>HUNGARY2008ttl!B35/HUNGARY2008ttl!$BE$2</f>
        <v>1.516178646664771E-3</v>
      </c>
      <c r="C39" s="4">
        <f>HUNGARY2008ttl!C35/HUNGARY2008ttl!$BE$3</f>
        <v>9.8846787479406929E-3</v>
      </c>
      <c r="D39" s="4">
        <f>HUNGARY2008ttl!D35/HUNGARY2008ttl!$BE$4</f>
        <v>2.7494108405341474E-3</v>
      </c>
      <c r="E39" s="4">
        <f>HUNGARY2008ttl!E35/HUNGARY2008ttl!$BE$5</f>
        <v>3.5362465269007316E-3</v>
      </c>
      <c r="F39" s="4">
        <f>HUNGARY2008ttl!F35/HUNGARY2008ttl!$BE$6</f>
        <v>2.1574973031283713E-3</v>
      </c>
      <c r="G39" s="4">
        <f>HUNGARY2008ttl!G35/HUNGARY2008ttl!$BE$7</f>
        <v>3.1694416431702647E-3</v>
      </c>
      <c r="H39" s="4">
        <f>HUNGARY2008ttl!H35/HUNGARY2008ttl!$BE$8</f>
        <v>2.5555954088952652E-3</v>
      </c>
      <c r="I39" s="4">
        <f>HUNGARY2008ttl!I35/HUNGARY2008ttl!$BE$9</f>
        <v>3.84487901889294E-3</v>
      </c>
      <c r="J39" s="4">
        <f>HUNGARY2008ttl!J35/HUNGARY2008ttl!$BE$10</f>
        <v>3.53559162233147E-3</v>
      </c>
      <c r="K39" s="4">
        <f>HUNGARY2008ttl!K35/HUNGARY2008ttl!$BE$11</f>
        <v>1.7882763926722253E-3</v>
      </c>
      <c r="L39" s="4">
        <f>HUNGARY2008ttl!L35/HUNGARY2008ttl!$BE$12</f>
        <v>1.8859287741462964E-3</v>
      </c>
      <c r="M39" s="4">
        <f>HUNGARY2008ttl!M35/HUNGARY2008ttl!$BE$13</f>
        <v>2.2143364088005675E-3</v>
      </c>
      <c r="N39" s="4">
        <f>HUNGARY2008ttl!N35/HUNGARY2008ttl!$BE$14</f>
        <v>3.0908362429168329E-3</v>
      </c>
      <c r="O39" s="4">
        <f>HUNGARY2008ttl!O35/HUNGARY2008ttl!$BE$15</f>
        <v>3.2101959656940259E-3</v>
      </c>
      <c r="P39" s="4">
        <f>HUNGARY2008ttl!P35/HUNGARY2008ttl!$BE$16</f>
        <v>1.3639415813328851E-3</v>
      </c>
      <c r="Q39" s="4">
        <f>HUNGARY2008ttl!Q35/HUNGARY2008ttl!$BE$17</f>
        <v>2.7061158217571708E-3</v>
      </c>
      <c r="R39" s="4">
        <f>HUNGARY2008ttl!R35/HUNGARY2008ttl!$BE$18</f>
        <v>2.0425142293690655E-3</v>
      </c>
      <c r="S39" s="4">
        <f>HUNGARY2008ttl!S35/HUNGARY2008ttl!$BE$19</f>
        <v>1.7651498551359778E-3</v>
      </c>
      <c r="T39" s="4">
        <f>HUNGARY2008ttl!T35/HUNGARY2008ttl!$BE$20</f>
        <v>3.6841110901190263E-3</v>
      </c>
      <c r="U39" s="4">
        <f>HUNGARY2008ttl!U35/HUNGARY2008ttl!$BE$21</f>
        <v>1.2582232387999381E-3</v>
      </c>
      <c r="V39" s="4">
        <f>HUNGARY2008ttl!V35/HUNGARY2008ttl!$BE$22</f>
        <v>2.6640833131508848E-3</v>
      </c>
      <c r="W39" s="4">
        <f>HUNGARY2008ttl!W35/HUNGARY2008ttl!$BE$23</f>
        <v>3.8094155105753932E-3</v>
      </c>
      <c r="X39" s="4">
        <f>HUNGARY2008ttl!X35/HUNGARY2008ttl!$BE$24</f>
        <v>2.2234516738519998E-3</v>
      </c>
      <c r="Y39" s="4">
        <f>HUNGARY2008ttl!Y35/HUNGARY2008ttl!$BE$25</f>
        <v>6.9707033176602106E-3</v>
      </c>
      <c r="Z39" s="4">
        <f>HUNGARY2008ttl!Z35/HUNGARY2008ttl!$BE$26</f>
        <v>5.5354053261750524E-3</v>
      </c>
      <c r="AA39" s="4">
        <f>HUNGARY2008ttl!AA35/HUNGARY2008ttl!$BE$27</f>
        <v>9.2318038700210919E-3</v>
      </c>
      <c r="AB39" s="4">
        <f>HUNGARY2008ttl!AB35/HUNGARY2008ttl!$BE$28</f>
        <v>8.5432508318428434E-3</v>
      </c>
      <c r="AC39" s="4">
        <f>HUNGARY2008ttl!AC35/HUNGARY2008ttl!$BE$29</f>
        <v>5.8252427184465995E-3</v>
      </c>
      <c r="AD39" s="4">
        <f>HUNGARY2008ttl!AD35/HUNGARY2008ttl!$BE$30</f>
        <v>3.9547146401985103E-3</v>
      </c>
      <c r="AE39" s="4">
        <f>HUNGARY2008ttl!AE35/HUNGARY2008ttl!$BE$31</f>
        <v>7.1190978419600854E-3</v>
      </c>
      <c r="AF39" s="4">
        <f>HUNGARY2008ttl!AF35/HUNGARY2008ttl!$BE$32</f>
        <v>9.3257406948914767E-3</v>
      </c>
      <c r="AG39" s="4">
        <f>HUNGARY2008ttl!AG35/HUNGARY2008ttl!$BE$33</f>
        <v>5.1624705444623577E-3</v>
      </c>
      <c r="AH39" s="4">
        <f>HUNGARY2008ttl!AH35/HUNGARY2008ttl!$BE$34</f>
        <v>2.6636030976087143E-2</v>
      </c>
      <c r="AI39" s="4">
        <f>HUNGARY2008ttl!AI35/HUNGARY2008ttl!$BE$35</f>
        <v>3.3925352958846508E-2</v>
      </c>
      <c r="AJ39" s="4">
        <f>HUNGARY2008ttl!AJ35/HUNGARY2008ttl!$BE$36</f>
        <v>1.7394114004146578E-2</v>
      </c>
      <c r="AK39" s="4">
        <f>HUNGARY2008ttl!AK35/HUNGARY2008ttl!$BE$37</f>
        <v>1.1490824883337428E-2</v>
      </c>
      <c r="AL39" s="4">
        <f>HUNGARY2008ttl!AL35/HUNGARY2008ttl!$BE$38</f>
        <v>5.0278410826304527E-3</v>
      </c>
      <c r="AM39" s="4">
        <f>HUNGARY2008ttl!AM35/HUNGARY2008ttl!$BE$39</f>
        <v>1.1892556899733439E-2</v>
      </c>
      <c r="AN39" s="4">
        <f>HUNGARY2008ttl!AN35/HUNGARY2008ttl!$BE$40</f>
        <v>1.0630527221975845E-2</v>
      </c>
      <c r="AO39" s="4">
        <f>HUNGARY2008ttl!AO35/HUNGARY2008ttl!$BE$41</f>
        <v>1.0246258808296606E-2</v>
      </c>
      <c r="AP39" s="4">
        <f>HUNGARY2008ttl!AP35/HUNGARY2008ttl!$BE$42</f>
        <v>8.1045906294368222E-3</v>
      </c>
      <c r="AQ39" s="4">
        <f>HUNGARY2008ttl!AQ35/HUNGARY2008ttl!$BE$43</f>
        <v>8.1872120388478235E-3</v>
      </c>
      <c r="AR39" s="4">
        <f>HUNGARY2008ttl!AR35/HUNGARY2008ttl!$BE$44</f>
        <v>2.4303246478447494E-2</v>
      </c>
      <c r="AS39" s="4">
        <f>HUNGARY2008ttl!AS35/HUNGARY2008ttl!$BE$45</f>
        <v>1.6301126259632488E-2</v>
      </c>
      <c r="AT39" s="4">
        <f>HUNGARY2008ttl!AT35/HUNGARY2008ttl!$BE$46</f>
        <v>0</v>
      </c>
    </row>
    <row r="40" spans="1:46" x14ac:dyDescent="0.3">
      <c r="A40" s="19" t="s">
        <v>88</v>
      </c>
      <c r="B40" s="4">
        <f>HUNGARY2008ttl!B36/HUNGARY2008ttl!$BE$2</f>
        <v>1.122555344165263E-3</v>
      </c>
      <c r="C40" s="4">
        <f>HUNGARY2008ttl!C36/HUNGARY2008ttl!$BE$3</f>
        <v>3.2948929159802316E-3</v>
      </c>
      <c r="D40" s="4">
        <f>HUNGARY2008ttl!D36/HUNGARY2008ttl!$BE$4</f>
        <v>7.8554595443832797E-4</v>
      </c>
      <c r="E40" s="4">
        <f>HUNGARY2008ttl!E36/HUNGARY2008ttl!$BE$5</f>
        <v>2.7784794139934323E-3</v>
      </c>
      <c r="F40" s="4">
        <f>HUNGARY2008ttl!F36/HUNGARY2008ttl!$BE$6</f>
        <v>1.672060409924488E-2</v>
      </c>
      <c r="G40" s="4">
        <f>HUNGARY2008ttl!G36/HUNGARY2008ttl!$BE$7</f>
        <v>6.4486474990910151E-3</v>
      </c>
      <c r="H40" s="4">
        <f>HUNGARY2008ttl!H36/HUNGARY2008ttl!$BE$8</f>
        <v>1.7934002869440459E-3</v>
      </c>
      <c r="I40" s="4">
        <f>HUNGARY2008ttl!I36/HUNGARY2008ttl!$BE$9</f>
        <v>1.7898574743122307E-3</v>
      </c>
      <c r="J40" s="4">
        <f>HUNGARY2008ttl!J36/HUNGARY2008ttl!$BE$10</f>
        <v>3.6366085258266552E-3</v>
      </c>
      <c r="K40" s="4">
        <f>HUNGARY2008ttl!K36/HUNGARY2008ttl!$BE$11</f>
        <v>8.4215341747936195E-4</v>
      </c>
      <c r="L40" s="4">
        <f>HUNGARY2008ttl!L36/HUNGARY2008ttl!$BE$12</f>
        <v>2.508468369495559E-3</v>
      </c>
      <c r="M40" s="4">
        <f>HUNGARY2008ttl!M36/HUNGARY2008ttl!$BE$13</f>
        <v>2.9240596167494676E-3</v>
      </c>
      <c r="N40" s="4">
        <f>HUNGARY2008ttl!N36/HUNGARY2008ttl!$BE$14</f>
        <v>3.4342624921298143E-3</v>
      </c>
      <c r="O40" s="4">
        <f>HUNGARY2008ttl!O36/HUNGARY2008ttl!$BE$15</f>
        <v>4.1684634181400034E-3</v>
      </c>
      <c r="P40" s="4">
        <f>HUNGARY2008ttl!P36/HUNGARY2008ttl!$BE$16</f>
        <v>4.0498573107268744E-3</v>
      </c>
      <c r="Q40" s="4">
        <f>HUNGARY2008ttl!Q36/HUNGARY2008ttl!$BE$17</f>
        <v>2.689715119807127E-3</v>
      </c>
      <c r="R40" s="4">
        <f>HUNGARY2008ttl!R36/HUNGARY2008ttl!$BE$18</f>
        <v>2.0253465451135932E-2</v>
      </c>
      <c r="S40" s="4">
        <f>HUNGARY2008ttl!S36/HUNGARY2008ttl!$BE$19</f>
        <v>4.6137365179071419E-3</v>
      </c>
      <c r="T40" s="4">
        <f>HUNGARY2008ttl!T36/HUNGARY2008ttl!$BE$20</f>
        <v>3.1551105233327045E-3</v>
      </c>
      <c r="U40" s="4">
        <f>HUNGARY2008ttl!U36/HUNGARY2008ttl!$BE$21</f>
        <v>2.3706259035667708E-3</v>
      </c>
      <c r="V40" s="4">
        <f>HUNGARY2008ttl!V36/HUNGARY2008ttl!$BE$22</f>
        <v>2.9062727052555104E-3</v>
      </c>
      <c r="W40" s="4">
        <f>HUNGARY2008ttl!W36/HUNGARY2008ttl!$BE$23</f>
        <v>3.4114168751421428E-3</v>
      </c>
      <c r="X40" s="4">
        <f>HUNGARY2008ttl!X36/HUNGARY2008ttl!$BE$24</f>
        <v>9.5201311105775777E-3</v>
      </c>
      <c r="Y40" s="4">
        <f>HUNGARY2008ttl!Y36/HUNGARY2008ttl!$BE$25</f>
        <v>1.0982145792917501E-2</v>
      </c>
      <c r="Z40" s="4">
        <f>HUNGARY2008ttl!Z36/HUNGARY2008ttl!$BE$26</f>
        <v>4.8226428542688157E-3</v>
      </c>
      <c r="AA40" s="4">
        <f>HUNGARY2008ttl!AA36/HUNGARY2008ttl!$BE$27</f>
        <v>1.5162167945465106E-2</v>
      </c>
      <c r="AB40" s="4">
        <f>HUNGARY2008ttl!AB36/HUNGARY2008ttl!$BE$28</f>
        <v>9.3426193307287221E-3</v>
      </c>
      <c r="AC40" s="4">
        <f>HUNGARY2008ttl!AC36/HUNGARY2008ttl!$BE$29</f>
        <v>2.7184466019417462E-3</v>
      </c>
      <c r="AD40" s="4">
        <f>HUNGARY2008ttl!AD36/HUNGARY2008ttl!$BE$30</f>
        <v>2.0704094292803968E-2</v>
      </c>
      <c r="AE40" s="4">
        <f>HUNGARY2008ttl!AE36/HUNGARY2008ttl!$BE$31</f>
        <v>1.3852831413272758E-2</v>
      </c>
      <c r="AF40" s="4">
        <f>HUNGARY2008ttl!AF36/HUNGARY2008ttl!$BE$32</f>
        <v>1.6753321779318316E-2</v>
      </c>
      <c r="AG40" s="4">
        <f>HUNGARY2008ttl!AG36/HUNGARY2008ttl!$BE$33</f>
        <v>3.8137169787920127E-3</v>
      </c>
      <c r="AH40" s="4">
        <f>HUNGARY2008ttl!AH36/HUNGARY2008ttl!$BE$34</f>
        <v>4.6492497092446031E-2</v>
      </c>
      <c r="AI40" s="4">
        <f>HUNGARY2008ttl!AI36/HUNGARY2008ttl!$BE$35</f>
        <v>3.4394713127065192E-2</v>
      </c>
      <c r="AJ40" s="4">
        <f>HUNGARY2008ttl!AJ36/HUNGARY2008ttl!$BE$36</f>
        <v>0.10385309243652223</v>
      </c>
      <c r="AK40" s="4">
        <f>HUNGARY2008ttl!AK36/HUNGARY2008ttl!$BE$37</f>
        <v>3.8191642398512332E-2</v>
      </c>
      <c r="AL40" s="4">
        <f>HUNGARY2008ttl!AL36/HUNGARY2008ttl!$BE$38</f>
        <v>6.8486713812466217E-3</v>
      </c>
      <c r="AM40" s="4">
        <f>HUNGARY2008ttl!AM36/HUNGARY2008ttl!$BE$39</f>
        <v>1.3556568508383144E-2</v>
      </c>
      <c r="AN40" s="4">
        <f>HUNGARY2008ttl!AN36/HUNGARY2008ttl!$BE$40</f>
        <v>8.947903894816478E-3</v>
      </c>
      <c r="AO40" s="4">
        <f>HUNGARY2008ttl!AO36/HUNGARY2008ttl!$BE$41</f>
        <v>1.4124399292846295E-2</v>
      </c>
      <c r="AP40" s="4">
        <f>HUNGARY2008ttl!AP36/HUNGARY2008ttl!$BE$42</f>
        <v>5.8684335068622823E-3</v>
      </c>
      <c r="AQ40" s="4">
        <f>HUNGARY2008ttl!AQ36/HUNGARY2008ttl!$BE$43</f>
        <v>5.546532312417825E-3</v>
      </c>
      <c r="AR40" s="4">
        <f>HUNGARY2008ttl!AR36/HUNGARY2008ttl!$BE$44</f>
        <v>1.1123874010035667E-2</v>
      </c>
      <c r="AS40" s="4">
        <f>HUNGARY2008ttl!AS36/HUNGARY2008ttl!$BE$45</f>
        <v>9.5336889942699097E-3</v>
      </c>
      <c r="AT40" s="4">
        <f>HUNGARY2008ttl!AT36/HUNGARY2008ttl!$BE$46</f>
        <v>0</v>
      </c>
    </row>
    <row r="41" spans="1:46" x14ac:dyDescent="0.3">
      <c r="A41" s="19" t="s">
        <v>89</v>
      </c>
      <c r="B41" s="4">
        <f>HUNGARY2008ttl!B37/HUNGARY2008ttl!$BE$2</f>
        <v>1.6860198123728919E-2</v>
      </c>
      <c r="C41" s="4">
        <f>HUNGARY2008ttl!C37/HUNGARY2008ttl!$BE$3</f>
        <v>2.4711696869851734E-2</v>
      </c>
      <c r="D41" s="4">
        <f>HUNGARY2008ttl!D37/HUNGARY2008ttl!$BE$4</f>
        <v>7.8554595443832784E-3</v>
      </c>
      <c r="E41" s="4">
        <f>HUNGARY2008ttl!E37/HUNGARY2008ttl!$BE$5</f>
        <v>1.7428643596867893E-2</v>
      </c>
      <c r="F41" s="4">
        <f>HUNGARY2008ttl!F37/HUNGARY2008ttl!$BE$6</f>
        <v>1.4563106796116507E-2</v>
      </c>
      <c r="G41" s="4">
        <f>HUNGARY2008ttl!G37/HUNGARY2008ttl!$BE$7</f>
        <v>1.0557945213937311E-2</v>
      </c>
      <c r="H41" s="4">
        <f>HUNGARY2008ttl!H37/HUNGARY2008ttl!$BE$8</f>
        <v>8.8773314203730268E-3</v>
      </c>
      <c r="I41" s="4">
        <f>HUNGARY2008ttl!I37/HUNGARY2008ttl!$BE$9</f>
        <v>1.4119986741796486E-2</v>
      </c>
      <c r="J41" s="4">
        <f>HUNGARY2008ttl!J37/HUNGARY2008ttl!$BE$10</f>
        <v>1.4378072597481311E-2</v>
      </c>
      <c r="K41" s="4">
        <f>HUNGARY2008ttl!K37/HUNGARY2008ttl!$BE$11</f>
        <v>9.3260693269010837E-3</v>
      </c>
      <c r="L41" s="4">
        <f>HUNGARY2008ttl!L37/HUNGARY2008ttl!$BE$12</f>
        <v>1.1443742561567331E-2</v>
      </c>
      <c r="M41" s="4">
        <f>HUNGARY2008ttl!M37/HUNGARY2008ttl!$BE$13</f>
        <v>1.027679205110007E-2</v>
      </c>
      <c r="N41" s="4">
        <f>HUNGARY2008ttl!N37/HUNGARY2008ttl!$BE$14</f>
        <v>1.3660733024249706E-2</v>
      </c>
      <c r="O41" s="4">
        <f>HUNGARY2008ttl!O37/HUNGARY2008ttl!$BE$15</f>
        <v>9.678501269704376E-3</v>
      </c>
      <c r="P41" s="4">
        <f>HUNGARY2008ttl!P37/HUNGARY2008ttl!$BE$16</f>
        <v>7.260365956018127E-3</v>
      </c>
      <c r="Q41" s="4">
        <f>HUNGARY2008ttl!Q37/HUNGARY2008ttl!$BE$17</f>
        <v>1.3973398061437027E-2</v>
      </c>
      <c r="R41" s="4">
        <f>HUNGARY2008ttl!R37/HUNGARY2008ttl!$BE$18</f>
        <v>4.7541279476693774E-3</v>
      </c>
      <c r="S41" s="4">
        <f>HUNGARY2008ttl!S37/HUNGARY2008ttl!$BE$19</f>
        <v>7.6205779952767038E-3</v>
      </c>
      <c r="T41" s="4">
        <f>HUNGARY2008ttl!T37/HUNGARY2008ttl!$BE$20</f>
        <v>1.0296618174948048E-2</v>
      </c>
      <c r="U41" s="4">
        <f>HUNGARY2008ttl!U37/HUNGARY2008ttl!$BE$21</f>
        <v>3.7996675290912036E-3</v>
      </c>
      <c r="V41" s="4">
        <f>HUNGARY2008ttl!V37/HUNGARY2008ttl!$BE$22</f>
        <v>9.08210220392347E-3</v>
      </c>
      <c r="W41" s="4">
        <f>HUNGARY2008ttl!W37/HUNGARY2008ttl!$BE$23</f>
        <v>1.4100523083920858E-2</v>
      </c>
      <c r="X41" s="4">
        <f>HUNGARY2008ttl!X37/HUNGARY2008ttl!$BE$24</f>
        <v>1.5637232898733783E-2</v>
      </c>
      <c r="Y41" s="4">
        <f>HUNGARY2008ttl!Y37/HUNGARY2008ttl!$BE$25</f>
        <v>2.0517541840660243E-2</v>
      </c>
      <c r="Z41" s="4">
        <f>HUNGARY2008ttl!Z37/HUNGARY2008ttl!$BE$26</f>
        <v>2.6119295744693082E-2</v>
      </c>
      <c r="AA41" s="4">
        <f>HUNGARY2008ttl!AA37/HUNGARY2008ttl!$BE$27</f>
        <v>3.6679607495491089E-2</v>
      </c>
      <c r="AB41" s="4">
        <f>HUNGARY2008ttl!AB37/HUNGARY2008ttl!$BE$28</f>
        <v>2.1323154707780852E-2</v>
      </c>
      <c r="AC41" s="4">
        <f>HUNGARY2008ttl!AC37/HUNGARY2008ttl!$BE$29</f>
        <v>2.6407766990291251E-2</v>
      </c>
      <c r="AD41" s="4">
        <f>HUNGARY2008ttl!AD37/HUNGARY2008ttl!$BE$30</f>
        <v>2.9854218362282876E-2</v>
      </c>
      <c r="AE41" s="4">
        <f>HUNGARY2008ttl!AE37/HUNGARY2008ttl!$BE$31</f>
        <v>3.4358267077721889E-2</v>
      </c>
      <c r="AF41" s="4">
        <f>HUNGARY2008ttl!AF37/HUNGARY2008ttl!$BE$32</f>
        <v>1.3452174630684165E-2</v>
      </c>
      <c r="AG41" s="4">
        <f>HUNGARY2008ttl!AG37/HUNGARY2008ttl!$BE$33</f>
        <v>2.8928438546446729E-2</v>
      </c>
      <c r="AH41" s="4">
        <f>HUNGARY2008ttl!AH37/HUNGARY2008ttl!$BE$34</f>
        <v>1.2537940033472328E-2</v>
      </c>
      <c r="AI41" s="4">
        <f>HUNGARY2008ttl!AI37/HUNGARY2008ttl!$BE$35</f>
        <v>1.5883148092520279E-2</v>
      </c>
      <c r="AJ41" s="4">
        <f>HUNGARY2008ttl!AJ37/HUNGARY2008ttl!$BE$36</f>
        <v>2.2429252268504798E-2</v>
      </c>
      <c r="AK41" s="4">
        <f>HUNGARY2008ttl!AK37/HUNGARY2008ttl!$BE$37</f>
        <v>0.20007192730079648</v>
      </c>
      <c r="AL41" s="4">
        <f>HUNGARY2008ttl!AL37/HUNGARY2008ttl!$BE$38</f>
        <v>6.2295890797171245E-2</v>
      </c>
      <c r="AM41" s="4">
        <f>HUNGARY2008ttl!AM37/HUNGARY2008ttl!$BE$39</f>
        <v>3.3059415466633005E-2</v>
      </c>
      <c r="AN41" s="4">
        <f>HUNGARY2008ttl!AN37/HUNGARY2008ttl!$BE$40</f>
        <v>2.8043722119322781E-2</v>
      </c>
      <c r="AO41" s="4">
        <f>HUNGARY2008ttl!AO37/HUNGARY2008ttl!$BE$41</f>
        <v>2.3785513308931552E-2</v>
      </c>
      <c r="AP41" s="4">
        <f>HUNGARY2008ttl!AP37/HUNGARY2008ttl!$BE$42</f>
        <v>5.3478466635115962E-3</v>
      </c>
      <c r="AQ41" s="4">
        <f>HUNGARY2008ttl!AQ37/HUNGARY2008ttl!$BE$43</f>
        <v>8.1209188239583681E-3</v>
      </c>
      <c r="AR41" s="4">
        <f>HUNGARY2008ttl!AR37/HUNGARY2008ttl!$BE$44</f>
        <v>1.4358261290127561E-2</v>
      </c>
      <c r="AS41" s="4">
        <f>HUNGARY2008ttl!AS37/HUNGARY2008ttl!$BE$45</f>
        <v>3.176249753013239E-2</v>
      </c>
      <c r="AT41" s="4">
        <f>HUNGARY2008ttl!AT37/HUNGARY2008ttl!$BE$46</f>
        <v>0</v>
      </c>
    </row>
    <row r="42" spans="1:46" x14ac:dyDescent="0.3">
      <c r="A42" s="19" t="s">
        <v>90</v>
      </c>
      <c r="B42" s="4">
        <f>HUNGARY2008ttl!B38/HUNGARY2008ttl!$BE$2</f>
        <v>3.8123145779119E-3</v>
      </c>
      <c r="C42" s="4">
        <f>HUNGARY2008ttl!C38/HUNGARY2008ttl!$BE$3</f>
        <v>1.1532125205930808E-2</v>
      </c>
      <c r="D42" s="4">
        <f>HUNGARY2008ttl!D38/HUNGARY2008ttl!$BE$4</f>
        <v>1.7282010997643215E-2</v>
      </c>
      <c r="E42" s="4">
        <f>HUNGARY2008ttl!E38/HUNGARY2008ttl!$BE$5</f>
        <v>8.0828492043445305E-3</v>
      </c>
      <c r="F42" s="4">
        <f>HUNGARY2008ttl!F38/HUNGARY2008ttl!$BE$6</f>
        <v>1.6181229773462784E-3</v>
      </c>
      <c r="G42" s="4">
        <f>HUNGARY2008ttl!G38/HUNGARY2008ttl!$BE$7</f>
        <v>1.0228652575685854E-2</v>
      </c>
      <c r="H42" s="4">
        <f>HUNGARY2008ttl!H38/HUNGARY2008ttl!$BE$8</f>
        <v>6.4562410329985654E-3</v>
      </c>
      <c r="I42" s="4">
        <f>HUNGARY2008ttl!I38/HUNGARY2008ttl!$BE$9</f>
        <v>9.6784885647994701E-3</v>
      </c>
      <c r="J42" s="4">
        <f>HUNGARY2008ttl!J38/HUNGARY2008ttl!$BE$10</f>
        <v>1.1852650010101691E-2</v>
      </c>
      <c r="K42" s="4">
        <f>HUNGARY2008ttl!K38/HUNGARY2008ttl!$BE$11</f>
        <v>1.9650246407851776E-3</v>
      </c>
      <c r="L42" s="4">
        <f>HUNGARY2008ttl!L38/HUNGARY2008ttl!$BE$12</f>
        <v>5.9873661082120279E-3</v>
      </c>
      <c r="M42" s="4">
        <f>HUNGARY2008ttl!M38/HUNGARY2008ttl!$BE$13</f>
        <v>1.3825408090844569E-2</v>
      </c>
      <c r="N42" s="4">
        <f>HUNGARY2008ttl!N38/HUNGARY2008ttl!$BE$14</f>
        <v>1.381336691278881E-2</v>
      </c>
      <c r="O42" s="4">
        <f>HUNGARY2008ttl!O38/HUNGARY2008ttl!$BE$15</f>
        <v>8.1452733457908124E-3</v>
      </c>
      <c r="P42" s="4">
        <f>HUNGARY2008ttl!P38/HUNGARY2008ttl!$BE$16</f>
        <v>5.9803592412288036E-3</v>
      </c>
      <c r="Q42" s="4">
        <f>HUNGARY2008ttl!Q38/HUNGARY2008ttl!$BE$17</f>
        <v>8.9547832647237282E-3</v>
      </c>
      <c r="R42" s="4">
        <f>HUNGARY2008ttl!R38/HUNGARY2008ttl!$BE$18</f>
        <v>5.9118461423333093E-3</v>
      </c>
      <c r="S42" s="4">
        <f>HUNGARY2008ttl!S38/HUNGARY2008ttl!$BE$19</f>
        <v>5.8554281401407265E-3</v>
      </c>
      <c r="T42" s="4">
        <f>HUNGARY2008ttl!T38/HUNGARY2008ttl!$BE$20</f>
        <v>1.0126582278481016E-2</v>
      </c>
      <c r="U42" s="4">
        <f>HUNGARY2008ttl!U38/HUNGARY2008ttl!$BE$21</f>
        <v>5.9536457226659319E-3</v>
      </c>
      <c r="V42" s="4">
        <f>HUNGARY2008ttl!V38/HUNGARY2008ttl!$BE$22</f>
        <v>1.2230564301283605E-2</v>
      </c>
      <c r="W42" s="4">
        <f>HUNGARY2008ttl!W38/HUNGARY2008ttl!$BE$23</f>
        <v>9.7509665681146246E-3</v>
      </c>
      <c r="X42" s="4">
        <f>HUNGARY2008ttl!X38/HUNGARY2008ttl!$BE$24</f>
        <v>1.7923317014102737E-2</v>
      </c>
      <c r="Y42" s="4">
        <f>HUNGARY2008ttl!Y38/HUNGARY2008ttl!$BE$25</f>
        <v>3.1203761549337454E-2</v>
      </c>
      <c r="Z42" s="4">
        <f>HUNGARY2008ttl!Z38/HUNGARY2008ttl!$BE$26</f>
        <v>1.6577475556270874E-2</v>
      </c>
      <c r="AA42" s="4">
        <f>HUNGARY2008ttl!AA38/HUNGARY2008ttl!$BE$27</f>
        <v>3.7239018127349983E-2</v>
      </c>
      <c r="AB42" s="4">
        <f>HUNGARY2008ttl!AB38/HUNGARY2008ttl!$BE$28</f>
        <v>1.815565703094555E-2</v>
      </c>
      <c r="AC42" s="4">
        <f>HUNGARY2008ttl!AC38/HUNGARY2008ttl!$BE$29</f>
        <v>4.5048543689320368E-2</v>
      </c>
      <c r="AD42" s="4">
        <f>HUNGARY2008ttl!AD38/HUNGARY2008ttl!$BE$30</f>
        <v>1.7679900744416874E-2</v>
      </c>
      <c r="AE42" s="4">
        <f>HUNGARY2008ttl!AE38/HUNGARY2008ttl!$BE$31</f>
        <v>2.5454324192763268E-2</v>
      </c>
      <c r="AF42" s="4">
        <f>HUNGARY2008ttl!AF38/HUNGARY2008ttl!$BE$32</f>
        <v>5.4468927952463489E-3</v>
      </c>
      <c r="AG42" s="4">
        <f>HUNGARY2008ttl!AG38/HUNGARY2008ttl!$BE$33</f>
        <v>3.3780850799950392E-2</v>
      </c>
      <c r="AH42" s="4">
        <f>HUNGARY2008ttl!AH38/HUNGARY2008ttl!$BE$34</f>
        <v>2.3969591240461805E-2</v>
      </c>
      <c r="AI42" s="4">
        <f>HUNGARY2008ttl!AI38/HUNGARY2008ttl!$BE$35</f>
        <v>2.1703214178431966E-2</v>
      </c>
      <c r="AJ42" s="4">
        <f>HUNGARY2008ttl!AJ38/HUNGARY2008ttl!$BE$36</f>
        <v>3.459974689679312E-2</v>
      </c>
      <c r="AK42" s="4">
        <f>HUNGARY2008ttl!AK38/HUNGARY2008ttl!$BE$37</f>
        <v>1.8832672537805691E-2</v>
      </c>
      <c r="AL42" s="4">
        <f>HUNGARY2008ttl!AL38/HUNGARY2008ttl!$BE$38</f>
        <v>2.0898432911213963E-2</v>
      </c>
      <c r="AM42" s="4">
        <f>HUNGARY2008ttl!AM38/HUNGARY2008ttl!$BE$39</f>
        <v>3.1718742606583479E-2</v>
      </c>
      <c r="AN42" s="4">
        <f>HUNGARY2008ttl!AN38/HUNGARY2008ttl!$BE$40</f>
        <v>2.724806302663502E-2</v>
      </c>
      <c r="AO42" s="4">
        <f>HUNGARY2008ttl!AO38/HUNGARY2008ttl!$BE$41</f>
        <v>1.9857573267597919E-2</v>
      </c>
      <c r="AP42" s="4">
        <f>HUNGARY2008ttl!AP38/HUNGARY2008ttl!$BE$42</f>
        <v>1.8705631803123523E-2</v>
      </c>
      <c r="AQ42" s="4">
        <f>HUNGARY2008ttl!AQ38/HUNGARY2008ttl!$BE$43</f>
        <v>1.6816378843625357E-2</v>
      </c>
      <c r="AR42" s="4">
        <f>HUNGARY2008ttl!AR38/HUNGARY2008ttl!$BE$44</f>
        <v>4.7608971646212438E-2</v>
      </c>
      <c r="AS42" s="4">
        <f>HUNGARY2008ttl!AS38/HUNGARY2008ttl!$BE$45</f>
        <v>4.6112428373839165E-2</v>
      </c>
      <c r="AT42" s="4">
        <f>HUNGARY2008ttl!AT38/HUNGARY2008ttl!$BE$46</f>
        <v>0</v>
      </c>
    </row>
    <row r="43" spans="1:46" x14ac:dyDescent="0.3">
      <c r="A43" s="19" t="s">
        <v>91</v>
      </c>
      <c r="B43" s="4">
        <f>HUNGARY2008ttl!B39/HUNGARY2008ttl!$BE$2</f>
        <v>5.7731417699927821E-3</v>
      </c>
      <c r="C43" s="4">
        <f>HUNGARY2008ttl!C39/HUNGARY2008ttl!$BE$3</f>
        <v>2.4711696869851734E-2</v>
      </c>
      <c r="D43" s="4">
        <f>HUNGARY2008ttl!D39/HUNGARY2008ttl!$BE$4</f>
        <v>2.7101335428122313E-2</v>
      </c>
      <c r="E43" s="4">
        <f>HUNGARY2008ttl!E39/HUNGARY2008ttl!$BE$5</f>
        <v>4.7486739075524115E-2</v>
      </c>
      <c r="F43" s="4">
        <f>HUNGARY2008ttl!F39/HUNGARY2008ttl!$BE$6</f>
        <v>6.3646170442286959E-2</v>
      </c>
      <c r="G43" s="4">
        <f>HUNGARY2008ttl!G39/HUNGARY2008ttl!$BE$7</f>
        <v>3.1982547490172673E-2</v>
      </c>
      <c r="H43" s="4">
        <f>HUNGARY2008ttl!H39/HUNGARY2008ttl!$BE$8</f>
        <v>1.1881276901004304E-2</v>
      </c>
      <c r="I43" s="4">
        <f>HUNGARY2008ttl!I39/HUNGARY2008ttl!$BE$9</f>
        <v>1.3059330460722572E-2</v>
      </c>
      <c r="J43" s="4">
        <f>HUNGARY2008ttl!J39/HUNGARY2008ttl!$BE$10</f>
        <v>1.5051518620782545E-2</v>
      </c>
      <c r="K43" s="4">
        <f>HUNGARY2008ttl!K39/HUNGARY2008ttl!$BE$11</f>
        <v>1.5751387993595475E-2</v>
      </c>
      <c r="L43" s="4">
        <f>HUNGARY2008ttl!L39/HUNGARY2008ttl!$BE$12</f>
        <v>1.2926851597546456E-2</v>
      </c>
      <c r="M43" s="4">
        <f>HUNGARY2008ttl!M39/HUNGARY2008ttl!$BE$13</f>
        <v>4.542228530872959E-2</v>
      </c>
      <c r="N43" s="4">
        <f>HUNGARY2008ttl!N39/HUNGARY2008ttl!$BE$14</f>
        <v>2.2551657031652447E-2</v>
      </c>
      <c r="O43" s="4">
        <f>HUNGARY2008ttl!O39/HUNGARY2008ttl!$BE$15</f>
        <v>2.3621292702793353E-2</v>
      </c>
      <c r="P43" s="4">
        <f>HUNGARY2008ttl!P39/HUNGARY2008ttl!$BE$16</f>
        <v>5.9593755245929128E-3</v>
      </c>
      <c r="Q43" s="4">
        <f>HUNGARY2008ttl!Q39/HUNGARY2008ttl!$BE$17</f>
        <v>1.6089088612992634E-2</v>
      </c>
      <c r="R43" s="4">
        <f>HUNGARY2008ttl!R39/HUNGARY2008ttl!$BE$18</f>
        <v>2.1191085129704055E-2</v>
      </c>
      <c r="S43" s="4">
        <f>HUNGARY2008ttl!S39/HUNGARY2008ttl!$BE$19</f>
        <v>1.2088233145862246E-2</v>
      </c>
      <c r="T43" s="4">
        <f>HUNGARY2008ttl!T39/HUNGARY2008ttl!$BE$20</f>
        <v>1.7249197052711135E-2</v>
      </c>
      <c r="U43" s="4">
        <f>HUNGARY2008ttl!U39/HUNGARY2008ttl!$BE$21</f>
        <v>3.1576403731340165E-2</v>
      </c>
      <c r="V43" s="4">
        <f>HUNGARY2008ttl!V39/HUNGARY2008ttl!$BE$22</f>
        <v>2.2886897553887141E-2</v>
      </c>
      <c r="W43" s="4">
        <f>HUNGARY2008ttl!W39/HUNGARY2008ttl!$BE$23</f>
        <v>2.0098931089379126E-2</v>
      </c>
      <c r="X43" s="4">
        <f>HUNGARY2008ttl!X39/HUNGARY2008ttl!$BE$24</f>
        <v>5.3561176237251699E-2</v>
      </c>
      <c r="Y43" s="4">
        <f>HUNGARY2008ttl!Y39/HUNGARY2008ttl!$BE$25</f>
        <v>2.6041495413145693E-2</v>
      </c>
      <c r="Z43" s="4">
        <f>HUNGARY2008ttl!Z39/HUNGARY2008ttl!$BE$26</f>
        <v>3.678199240103236E-2</v>
      </c>
      <c r="AA43" s="4">
        <f>HUNGARY2008ttl!AA39/HUNGARY2008ttl!$BE$27</f>
        <v>5.9688808730474122E-2</v>
      </c>
      <c r="AB43" s="4">
        <f>HUNGARY2008ttl!AB39/HUNGARY2008ttl!$BE$28</f>
        <v>1.4508538254778722E-2</v>
      </c>
      <c r="AC43" s="4">
        <f>HUNGARY2008ttl!AC39/HUNGARY2008ttl!$BE$29</f>
        <v>0.17126213592233003</v>
      </c>
      <c r="AD43" s="4">
        <f>HUNGARY2008ttl!AD39/HUNGARY2008ttl!$BE$30</f>
        <v>3.3188585607940441E-2</v>
      </c>
      <c r="AE43" s="4">
        <f>HUNGARY2008ttl!AE39/HUNGARY2008ttl!$BE$31</f>
        <v>3.109281194223593E-2</v>
      </c>
      <c r="AF43" s="4">
        <f>HUNGARY2008ttl!AF39/HUNGARY2008ttl!$BE$32</f>
        <v>9.8209127671865983E-3</v>
      </c>
      <c r="AG43" s="4">
        <f>HUNGARY2008ttl!AG39/HUNGARY2008ttl!$BE$33</f>
        <v>1.9998759766836162E-2</v>
      </c>
      <c r="AH43" s="4">
        <f>HUNGARY2008ttl!AH39/HUNGARY2008ttl!$BE$34</f>
        <v>3.5259410546620143E-2</v>
      </c>
      <c r="AI43" s="4">
        <f>HUNGARY2008ttl!AI39/HUNGARY2008ttl!$BE$35</f>
        <v>5.793781916491441E-2</v>
      </c>
      <c r="AJ43" s="4">
        <f>HUNGARY2008ttl!AJ39/HUNGARY2008ttl!$BE$36</f>
        <v>4.9516680578367743E-2</v>
      </c>
      <c r="AK43" s="4">
        <f>HUNGARY2008ttl!AK39/HUNGARY2008ttl!$BE$37</f>
        <v>3.9612645170344907E-2</v>
      </c>
      <c r="AL43" s="4">
        <f>HUNGARY2008ttl!AL39/HUNGARY2008ttl!$BE$38</f>
        <v>4.80992881140897E-2</v>
      </c>
      <c r="AM43" s="4">
        <f>HUNGARY2008ttl!AM39/HUNGARY2008ttl!$BE$39</f>
        <v>0.11548713742685443</v>
      </c>
      <c r="AN43" s="4">
        <f>HUNGARY2008ttl!AN39/HUNGARY2008ttl!$BE$40</f>
        <v>5.0713484465082316E-2</v>
      </c>
      <c r="AO43" s="4">
        <f>HUNGARY2008ttl!AO39/HUNGARY2008ttl!$BE$41</f>
        <v>1.2972784542217576E-2</v>
      </c>
      <c r="AP43" s="4">
        <f>HUNGARY2008ttl!AP39/HUNGARY2008ttl!$BE$42</f>
        <v>8.3648840511121644E-3</v>
      </c>
      <c r="AQ43" s="4">
        <f>HUNGARY2008ttl!AQ39/HUNGARY2008ttl!$BE$43</f>
        <v>1.1347188615245231E-2</v>
      </c>
      <c r="AR43" s="4">
        <f>HUNGARY2008ttl!AR39/HUNGARY2008ttl!$BE$44</f>
        <v>3.9810168671785252E-2</v>
      </c>
      <c r="AS43" s="4">
        <f>HUNGARY2008ttl!AS39/HUNGARY2008ttl!$BE$45</f>
        <v>2.5736020549298563E-2</v>
      </c>
      <c r="AT43" s="4">
        <f>HUNGARY2008ttl!AT39/HUNGARY2008ttl!$BE$46</f>
        <v>0</v>
      </c>
    </row>
    <row r="44" spans="1:46" x14ac:dyDescent="0.3">
      <c r="A44" s="19" t="s">
        <v>92</v>
      </c>
      <c r="B44" s="4">
        <f>HUNGARY2008ttl!B40/HUNGARY2008ttl!$BE$2</f>
        <v>3.4405592366623652E-3</v>
      </c>
      <c r="C44" s="4">
        <f>HUNGARY2008ttl!C40/HUNGARY2008ttl!$BE$3</f>
        <v>1.4827018121911041E-2</v>
      </c>
      <c r="D44" s="4">
        <f>HUNGARY2008ttl!D40/HUNGARY2008ttl!$BE$4</f>
        <v>5.4202670856244625E-2</v>
      </c>
      <c r="E44" s="4">
        <f>HUNGARY2008ttl!E40/HUNGARY2008ttl!$BE$5</f>
        <v>1.4902753220510228E-2</v>
      </c>
      <c r="F44" s="4">
        <f>HUNGARY2008ttl!F40/HUNGARY2008ttl!$BE$6</f>
        <v>2.9665587918015105E-2</v>
      </c>
      <c r="G44" s="4">
        <f>HUNGARY2008ttl!G40/HUNGARY2008ttl!$BE$7</f>
        <v>1.8371785109112488E-2</v>
      </c>
      <c r="H44" s="4">
        <f>HUNGARY2008ttl!H40/HUNGARY2008ttl!$BE$8</f>
        <v>1.4347202295552367E-2</v>
      </c>
      <c r="I44" s="4">
        <f>HUNGARY2008ttl!I40/HUNGARY2008ttl!$BE$9</f>
        <v>1.1866092144514418E-2</v>
      </c>
      <c r="J44" s="4">
        <f>HUNGARY2008ttl!J40/HUNGARY2008ttl!$BE$10</f>
        <v>1.9698296181561048E-2</v>
      </c>
      <c r="K44" s="4">
        <f>HUNGARY2008ttl!K40/HUNGARY2008ttl!$BE$11</f>
        <v>3.8780645027136048E-3</v>
      </c>
      <c r="L44" s="4">
        <f>HUNGARY2008ttl!L40/HUNGARY2008ttl!$BE$12</f>
        <v>1.008880344227776E-2</v>
      </c>
      <c r="M44" s="4">
        <f>HUNGARY2008ttl!M40/HUNGARY2008ttl!$BE$13</f>
        <v>3.9432221433640877E-2</v>
      </c>
      <c r="N44" s="4">
        <f>HUNGARY2008ttl!N40/HUNGARY2008ttl!$BE$14</f>
        <v>1.6618014614694823E-2</v>
      </c>
      <c r="O44" s="4">
        <f>HUNGARY2008ttl!O40/HUNGARY2008ttl!$BE$15</f>
        <v>2.2040151406257494E-2</v>
      </c>
      <c r="P44" s="4">
        <f>HUNGARY2008ttl!P40/HUNGARY2008ttl!$BE$16</f>
        <v>1.0365956018129925E-2</v>
      </c>
      <c r="Q44" s="4">
        <f>HUNGARY2008ttl!Q40/HUNGARY2008ttl!$BE$17</f>
        <v>1.8139176356748065E-2</v>
      </c>
      <c r="R44" s="4">
        <f>HUNGARY2008ttl!R40/HUNGARY2008ttl!$BE$18</f>
        <v>2.6403017990852706E-2</v>
      </c>
      <c r="S44" s="4">
        <f>HUNGARY2008ttl!S40/HUNGARY2008ttl!$BE$19</f>
        <v>2.2289581963820519E-2</v>
      </c>
      <c r="T44" s="4">
        <f>HUNGARY2008ttl!T40/HUNGARY2008ttl!$BE$20</f>
        <v>1.2129227281314948E-2</v>
      </c>
      <c r="U44" s="4">
        <f>HUNGARY2008ttl!U40/HUNGARY2008ttl!$BE$21</f>
        <v>1.0844884405947811E-2</v>
      </c>
      <c r="V44" s="4">
        <f>HUNGARY2008ttl!V40/HUNGARY2008ttl!$BE$22</f>
        <v>1.9375151368370071E-2</v>
      </c>
      <c r="W44" s="4">
        <f>HUNGARY2008ttl!W40/HUNGARY2008ttl!$BE$23</f>
        <v>2.032635888105527E-2</v>
      </c>
      <c r="X44" s="4">
        <f>HUNGARY2008ttl!X40/HUNGARY2008ttl!$BE$24</f>
        <v>2.5888075827009201E-2</v>
      </c>
      <c r="Y44" s="4">
        <f>HUNGARY2008ttl!Y40/HUNGARY2008ttl!$BE$25</f>
        <v>1.7097951533883535E-2</v>
      </c>
      <c r="Z44" s="4">
        <f>HUNGARY2008ttl!Z40/HUNGARY2008ttl!$BE$26</f>
        <v>1.902615953233585E-2</v>
      </c>
      <c r="AA44" s="4">
        <f>HUNGARY2008ttl!AA40/HUNGARY2008ttl!$BE$27</f>
        <v>4.0149176168495705E-2</v>
      </c>
      <c r="AB44" s="4">
        <f>HUNGARY2008ttl!AB40/HUNGARY2008ttl!$BE$28</f>
        <v>2.4170904985061799E-2</v>
      </c>
      <c r="AC44" s="4">
        <f>HUNGARY2008ttl!AC40/HUNGARY2008ttl!$BE$29</f>
        <v>4.5048543689320368E-2</v>
      </c>
      <c r="AD44" s="4">
        <f>HUNGARY2008ttl!AD40/HUNGARY2008ttl!$BE$30</f>
        <v>7.1262406947890822E-2</v>
      </c>
      <c r="AE44" s="4">
        <f>HUNGARY2008ttl!AE40/HUNGARY2008ttl!$BE$31</f>
        <v>1.6408404997566121E-2</v>
      </c>
      <c r="AF44" s="4">
        <f>HUNGARY2008ttl!AF40/HUNGARY2008ttl!$BE$32</f>
        <v>1.180160105636709E-2</v>
      </c>
      <c r="AG44" s="4">
        <f>HUNGARY2008ttl!AG40/HUNGARY2008ttl!$BE$33</f>
        <v>1.8727520773905493E-2</v>
      </c>
      <c r="AH44" s="4">
        <f>HUNGARY2008ttl!AH40/HUNGARY2008ttl!$BE$34</f>
        <v>1.2396108132641194E-2</v>
      </c>
      <c r="AI44" s="4">
        <f>HUNGARY2008ttl!AI40/HUNGARY2008ttl!$BE$35</f>
        <v>2.934439771703215E-2</v>
      </c>
      <c r="AJ44" s="4">
        <f>HUNGARY2008ttl!AJ40/HUNGARY2008ttl!$BE$36</f>
        <v>3.8746331349794008E-2</v>
      </c>
      <c r="AK44" s="4">
        <f>HUNGARY2008ttl!AK40/HUNGARY2008ttl!$BE$37</f>
        <v>4.1077506052419215E-2</v>
      </c>
      <c r="AL44" s="4">
        <f>HUNGARY2008ttl!AL40/HUNGARY2008ttl!$BE$38</f>
        <v>2.4534219862321734E-2</v>
      </c>
      <c r="AM44" s="4">
        <f>HUNGARY2008ttl!AM40/HUNGARY2008ttl!$BE$39</f>
        <v>2.9889118468162952E-2</v>
      </c>
      <c r="AN44" s="4">
        <f>HUNGARY2008ttl!AN40/HUNGARY2008ttl!$BE$40</f>
        <v>4.0187305976573717E-2</v>
      </c>
      <c r="AO44" s="4">
        <f>HUNGARY2008ttl!AO40/HUNGARY2008ttl!$BE$41</f>
        <v>1.0507706481412317E-2</v>
      </c>
      <c r="AP44" s="4">
        <f>HUNGARY2008ttl!AP40/HUNGARY2008ttl!$BE$42</f>
        <v>9.6426881211547581E-3</v>
      </c>
      <c r="AQ44" s="4">
        <f>HUNGARY2008ttl!AQ40/HUNGARY2008ttl!$BE$43</f>
        <v>1.3932623995934017E-2</v>
      </c>
      <c r="AR44" s="4">
        <f>HUNGARY2008ttl!AR40/HUNGARY2008ttl!$BE$44</f>
        <v>4.4223444773592892E-2</v>
      </c>
      <c r="AS44" s="4">
        <f>HUNGARY2008ttl!AS40/HUNGARY2008ttl!$BE$45</f>
        <v>1.7783046828689985E-2</v>
      </c>
      <c r="AT44" s="4">
        <f>HUNGARY2008ttl!AT40/HUNGARY2008ttl!$BE$46</f>
        <v>0</v>
      </c>
    </row>
    <row r="45" spans="1:46" x14ac:dyDescent="0.3">
      <c r="A45" s="19" t="s">
        <v>93</v>
      </c>
      <c r="B45" s="4">
        <f>HUNGARY2008ttl!B41/HUNGARY2008ttl!$BE$2</f>
        <v>3.3166407895791864E-3</v>
      </c>
      <c r="C45" s="4">
        <f>HUNGARY2008ttl!C41/HUNGARY2008ttl!$BE$3</f>
        <v>9.8846787479406929E-3</v>
      </c>
      <c r="D45" s="4">
        <f>HUNGARY2008ttl!D41/HUNGARY2008ttl!$BE$4</f>
        <v>5.4988216810682947E-3</v>
      </c>
      <c r="E45" s="4">
        <f>HUNGARY2008ttl!E41/HUNGARY2008ttl!$BE$5</f>
        <v>6.314725940894164E-3</v>
      </c>
      <c r="F45" s="4">
        <f>HUNGARY2008ttl!F41/HUNGARY2008ttl!$BE$6</f>
        <v>9.1693635382955781E-3</v>
      </c>
      <c r="G45" s="4">
        <f>HUNGARY2008ttl!G41/HUNGARY2008ttl!$BE$7</f>
        <v>3.1145595367950219E-3</v>
      </c>
      <c r="H45" s="4">
        <f>HUNGARY2008ttl!H41/HUNGARY2008ttl!$BE$8</f>
        <v>1.4347202295552368E-3</v>
      </c>
      <c r="I45" s="4">
        <f>HUNGARY2008ttl!I41/HUNGARY2008ttl!$BE$9</f>
        <v>1.5246934040437519E-3</v>
      </c>
      <c r="J45" s="4">
        <f>HUNGARY2008ttl!J41/HUNGARY2008ttl!$BE$10</f>
        <v>1.9529934675735737E-3</v>
      </c>
      <c r="K45" s="4">
        <f>HUNGARY2008ttl!K41/HUNGARY2008ttl!$BE$11</f>
        <v>1.1644590463912165E-3</v>
      </c>
      <c r="L45" s="4">
        <f>HUNGARY2008ttl!L41/HUNGARY2008ttl!$BE$12</f>
        <v>1.3000091549940488E-3</v>
      </c>
      <c r="M45" s="4">
        <f>HUNGARY2008ttl!M41/HUNGARY2008ttl!$BE$13</f>
        <v>1.2207239176721077E-3</v>
      </c>
      <c r="N45" s="4">
        <f>HUNGARY2008ttl!N41/HUNGARY2008ttl!$BE$14</f>
        <v>1.8888443706713981E-3</v>
      </c>
      <c r="O45" s="4">
        <f>HUNGARY2008ttl!O41/HUNGARY2008ttl!$BE$15</f>
        <v>1.8925782185808065E-3</v>
      </c>
      <c r="P45" s="4">
        <f>HUNGARY2008ttl!P41/HUNGARY2008ttl!$BE$16</f>
        <v>1.0491858317945269E-3</v>
      </c>
      <c r="Q45" s="4">
        <f>HUNGARY2008ttl!Q41/HUNGARY2008ttl!$BE$17</f>
        <v>1.6564708969543894E-3</v>
      </c>
      <c r="R45" s="4">
        <f>HUNGARY2008ttl!R41/HUNGARY2008ttl!$BE$18</f>
        <v>1.9148570900334992E-3</v>
      </c>
      <c r="S45" s="4">
        <f>HUNGARY2008ttl!S41/HUNGARY2008ttl!$BE$19</f>
        <v>1.3877729895551826E-3</v>
      </c>
      <c r="T45" s="4">
        <f>HUNGARY2008ttl!T41/HUNGARY2008ttl!$BE$20</f>
        <v>1.6436803325146424E-3</v>
      </c>
      <c r="U45" s="4">
        <f>HUNGARY2008ttl!U41/HUNGARY2008ttl!$BE$21</f>
        <v>1.4248753234092015E-3</v>
      </c>
      <c r="V45" s="4">
        <f>HUNGARY2008ttl!V41/HUNGARY2008ttl!$BE$22</f>
        <v>2.0586098328893199E-3</v>
      </c>
      <c r="W45" s="4">
        <f>HUNGARY2008ttl!W41/HUNGARY2008ttl!$BE$23</f>
        <v>1.7341369115305891E-3</v>
      </c>
      <c r="X45" s="4">
        <f>HUNGARY2008ttl!X41/HUNGARY2008ttl!$BE$24</f>
        <v>4.2694447634059529E-3</v>
      </c>
      <c r="Y45" s="4">
        <f>HUNGARY2008ttl!Y41/HUNGARY2008ttl!$BE$25</f>
        <v>1.2067208101798572E-2</v>
      </c>
      <c r="Z45" s="4">
        <f>HUNGARY2008ttl!Z41/HUNGARY2008ttl!$BE$26</f>
        <v>2.6556150162958198E-3</v>
      </c>
      <c r="AA45" s="4">
        <f>HUNGARY2008ttl!AA41/HUNGARY2008ttl!$BE$27</f>
        <v>7.4007275395102864E-3</v>
      </c>
      <c r="AB45" s="4">
        <f>HUNGARY2008ttl!AB41/HUNGARY2008ttl!$BE$28</f>
        <v>1.16507958712617E-2</v>
      </c>
      <c r="AC45" s="4">
        <f>HUNGARY2008ttl!AC41/HUNGARY2008ttl!$BE$29</f>
        <v>1.9805825242718435E-2</v>
      </c>
      <c r="AD45" s="4">
        <f>HUNGARY2008ttl!AD41/HUNGARY2008ttl!$BE$30</f>
        <v>1.8532878411910668E-2</v>
      </c>
      <c r="AE45" s="4">
        <f>HUNGARY2008ttl!AE41/HUNGARY2008ttl!$BE$31</f>
        <v>7.9709557033912064E-3</v>
      </c>
      <c r="AF45" s="4">
        <f>HUNGARY2008ttl!AF41/HUNGARY2008ttl!$BE$32</f>
        <v>2.5583890401914668E-3</v>
      </c>
      <c r="AG45" s="4">
        <f>HUNGARY2008ttl!AG41/HUNGARY2008ttl!$BE$33</f>
        <v>4.3098102443259326E-3</v>
      </c>
      <c r="AH45" s="4">
        <f>HUNGARY2008ttl!AH41/HUNGARY2008ttl!$BE$34</f>
        <v>3.0068362976200603E-3</v>
      </c>
      <c r="AI45" s="4">
        <f>HUNGARY2008ttl!AI41/HUNGARY2008ttl!$BE$35</f>
        <v>1.794833283268249E-2</v>
      </c>
      <c r="AJ45" s="4">
        <f>HUNGARY2008ttl!AJ41/HUNGARY2008ttl!$BE$36</f>
        <v>4.9543606451439171E-3</v>
      </c>
      <c r="AK45" s="4">
        <f>HUNGARY2008ttl!AK41/HUNGARY2008ttl!$BE$37</f>
        <v>9.3768639696852757E-3</v>
      </c>
      <c r="AL45" s="4">
        <f>HUNGARY2008ttl!AL41/HUNGARY2008ttl!$BE$38</f>
        <v>4.088057702699527E-3</v>
      </c>
      <c r="AM45" s="4">
        <f>HUNGARY2008ttl!AM41/HUNGARY2008ttl!$BE$39</f>
        <v>6.6718190564817566E-3</v>
      </c>
      <c r="AN45" s="4">
        <f>HUNGARY2008ttl!AN41/HUNGARY2008ttl!$BE$40</f>
        <v>4.343516030574179E-3</v>
      </c>
      <c r="AO45" s="4">
        <f>HUNGARY2008ttl!AO41/HUNGARY2008ttl!$BE$41</f>
        <v>1.9689499763452106E-2</v>
      </c>
      <c r="AP45" s="4">
        <f>HUNGARY2008ttl!AP41/HUNGARY2008ttl!$BE$42</f>
        <v>1.8693800283956464E-3</v>
      </c>
      <c r="AQ45" s="4">
        <f>HUNGARY2008ttl!AQ41/HUNGARY2008ttl!$BE$43</f>
        <v>9.6125161589711292E-4</v>
      </c>
      <c r="AR45" s="4">
        <f>HUNGARY2008ttl!AR41/HUNGARY2008ttl!$BE$44</f>
        <v>1.184934405416843E-2</v>
      </c>
      <c r="AS45" s="4">
        <f>HUNGARY2008ttl!AS41/HUNGARY2008ttl!$BE$45</f>
        <v>1.2102351313969573E-2</v>
      </c>
      <c r="AT45" s="4">
        <f>HUNGARY2008ttl!AT41/HUNGARY2008ttl!$BE$46</f>
        <v>0</v>
      </c>
    </row>
    <row r="46" spans="1:46" x14ac:dyDescent="0.3">
      <c r="A46" s="19" t="s">
        <v>94</v>
      </c>
      <c r="B46" s="4">
        <f>HUNGARY2008ttl!B42/HUNGARY2008ttl!$BE$2</f>
        <v>3.6446602083287761E-4</v>
      </c>
      <c r="C46" s="4">
        <f>HUNGARY2008ttl!C42/HUNGARY2008ttl!$BE$3</f>
        <v>1.6474464579901158E-3</v>
      </c>
      <c r="D46" s="4">
        <f>HUNGARY2008ttl!D42/HUNGARY2008ttl!$BE$4</f>
        <v>7.8554595443832797E-4</v>
      </c>
      <c r="E46" s="4">
        <f>HUNGARY2008ttl!E42/HUNGARY2008ttl!$BE$5</f>
        <v>2.5258903763576658E-4</v>
      </c>
      <c r="F46" s="4">
        <f>HUNGARY2008ttl!F42/HUNGARY2008ttl!$BE$6</f>
        <v>5.3937432578209283E-4</v>
      </c>
      <c r="G46" s="4">
        <f>HUNGARY2008ttl!G42/HUNGARY2008ttl!$BE$7</f>
        <v>8.0951106903482957E-4</v>
      </c>
      <c r="H46" s="4">
        <f>HUNGARY2008ttl!H42/HUNGARY2008ttl!$BE$8</f>
        <v>5.3802008608321375E-4</v>
      </c>
      <c r="I46" s="4">
        <f>HUNGARY2008ttl!I42/HUNGARY2008ttl!$BE$9</f>
        <v>7.9549221080543579E-4</v>
      </c>
      <c r="J46" s="4">
        <f>HUNGARY2008ttl!J42/HUNGARY2008ttl!$BE$10</f>
        <v>9.7649673378678685E-4</v>
      </c>
      <c r="K46" s="4">
        <f>HUNGARY2008ttl!K42/HUNGARY2008ttl!$BE$11</f>
        <v>2.9111476159780411E-4</v>
      </c>
      <c r="L46" s="4">
        <f>HUNGARY2008ttl!L42/HUNGARY2008ttl!$BE$12</f>
        <v>5.4929964295523186E-4</v>
      </c>
      <c r="M46" s="4">
        <f>HUNGARY2008ttl!M42/HUNGARY2008ttl!$BE$13</f>
        <v>1.5330021291696237E-3</v>
      </c>
      <c r="N46" s="4">
        <f>HUNGARY2008ttl!N42/HUNGARY2008ttl!$BE$14</f>
        <v>1.5835765935931923E-3</v>
      </c>
      <c r="O46" s="4">
        <f>HUNGARY2008ttl!O42/HUNGARY2008ttl!$BE$15</f>
        <v>8.6244070720138016E-4</v>
      </c>
      <c r="P46" s="4">
        <f>HUNGARY2008ttl!P42/HUNGARY2008ttl!$BE$16</f>
        <v>5.4557663253315409E-4</v>
      </c>
      <c r="Q46" s="4">
        <f>HUNGARY2008ttl!Q42/HUNGARY2008ttl!$BE$17</f>
        <v>5.9042527020156457E-4</v>
      </c>
      <c r="R46" s="4">
        <f>HUNGARY2008ttl!R42/HUNGARY2008ttl!$BE$18</f>
        <v>5.8986402313675602E-4</v>
      </c>
      <c r="S46" s="4">
        <f>HUNGARY2008ttl!S42/HUNGARY2008ttl!$BE$19</f>
        <v>7.7910062571519018E-4</v>
      </c>
      <c r="T46" s="4">
        <f>HUNGARY2008ttl!T42/HUNGARY2008ttl!$BE$20</f>
        <v>1.3225014169658043E-3</v>
      </c>
      <c r="U46" s="4">
        <f>HUNGARY2008ttl!U42/HUNGARY2008ttl!$BE$21</f>
        <v>5.7494969190195842E-4</v>
      </c>
      <c r="V46" s="4">
        <f>HUNGARY2008ttl!V42/HUNGARY2008ttl!$BE$22</f>
        <v>1.8164204407846939E-3</v>
      </c>
      <c r="W46" s="4">
        <f>HUNGARY2008ttl!W42/HUNGARY2008ttl!$BE$23</f>
        <v>7.9599727086649991E-4</v>
      </c>
      <c r="X46" s="4">
        <f>HUNGARY2008ttl!X42/HUNGARY2008ttl!$BE$24</f>
        <v>7.8290551896197178E-4</v>
      </c>
      <c r="Y46" s="4">
        <f>HUNGARY2008ttl!Y42/HUNGARY2008ttl!$BE$25</f>
        <v>1.5453917732548581E-3</v>
      </c>
      <c r="Z46" s="4">
        <f>HUNGARY2008ttl!Z42/HUNGARY2008ttl!$BE$26</f>
        <v>8.5646458317765615E-4</v>
      </c>
      <c r="AA46" s="4">
        <f>HUNGARY2008ttl!AA42/HUNGARY2008ttl!$BE$27</f>
        <v>2.8092807140892E-3</v>
      </c>
      <c r="AB46" s="4">
        <f>HUNGARY2008ttl!AB42/HUNGARY2008ttl!$BE$28</f>
        <v>7.0943954276121853E-4</v>
      </c>
      <c r="AC46" s="4">
        <f>HUNGARY2008ttl!AC42/HUNGARY2008ttl!$BE$29</f>
        <v>3.8834951456310666E-4</v>
      </c>
      <c r="AD46" s="4">
        <f>HUNGARY2008ttl!AD42/HUNGARY2008ttl!$BE$30</f>
        <v>3.2568238213399503E-3</v>
      </c>
      <c r="AE46" s="4">
        <f>HUNGARY2008ttl!AE42/HUNGARY2008ttl!$BE$31</f>
        <v>2.0079506733733572E-3</v>
      </c>
      <c r="AF46" s="4">
        <f>HUNGARY2008ttl!AF42/HUNGARY2008ttl!$BE$32</f>
        <v>2.1457456466121979E-3</v>
      </c>
      <c r="AG46" s="4">
        <f>HUNGARY2008ttl!AG42/HUNGARY2008ttl!$BE$33</f>
        <v>1.0697011038075157E-3</v>
      </c>
      <c r="AH46" s="4">
        <f>HUNGARY2008ttl!AH42/HUNGARY2008ttl!$BE$34</f>
        <v>1.0495560661503986E-3</v>
      </c>
      <c r="AI46" s="4">
        <f>HUNGARY2008ttl!AI42/HUNGARY2008ttl!$BE$35</f>
        <v>2.2341544007209377E-3</v>
      </c>
      <c r="AJ46" s="4">
        <f>HUNGARY2008ttl!AJ42/HUNGARY2008ttl!$BE$36</f>
        <v>3.5003634992864636E-3</v>
      </c>
      <c r="AK46" s="4">
        <f>HUNGARY2008ttl!AK42/HUNGARY2008ttl!$BE$37</f>
        <v>3.7191677485000525E-3</v>
      </c>
      <c r="AL46" s="4">
        <f>HUNGARY2008ttl!AL42/HUNGARY2008ttl!$BE$38</f>
        <v>6.4022742757794326E-4</v>
      </c>
      <c r="AM46" s="4">
        <f>HUNGARY2008ttl!AM42/HUNGARY2008ttl!$BE$39</f>
        <v>3.0598886452895052E-3</v>
      </c>
      <c r="AN46" s="4">
        <f>HUNGARY2008ttl!AN42/HUNGARY2008ttl!$BE$40</f>
        <v>2.4000208697466936E-3</v>
      </c>
      <c r="AO46" s="4">
        <f>HUNGARY2008ttl!AO42/HUNGARY2008ttl!$BE$41</f>
        <v>2.7078509001269889E-3</v>
      </c>
      <c r="AP46" s="4">
        <f>HUNGARY2008ttl!AP42/HUNGARY2008ttl!$BE$42</f>
        <v>2.5485092285849508E-2</v>
      </c>
      <c r="AQ46" s="4">
        <f>HUNGARY2008ttl!AQ42/HUNGARY2008ttl!$BE$43</f>
        <v>1.1711801297137239E-3</v>
      </c>
      <c r="AR46" s="4">
        <f>HUNGARY2008ttl!AR42/HUNGARY2008ttl!$BE$44</f>
        <v>6.0455837011063414E-4</v>
      </c>
      <c r="AS46" s="4">
        <f>HUNGARY2008ttl!AS42/HUNGARY2008ttl!$BE$45</f>
        <v>4.3963643548705798E-3</v>
      </c>
      <c r="AT46" s="4">
        <f>HUNGARY2008ttl!AT42/HUNGARY2008ttl!$BE$46</f>
        <v>0</v>
      </c>
    </row>
    <row r="47" spans="1:46" x14ac:dyDescent="0.3">
      <c r="A47" s="19" t="s">
        <v>95</v>
      </c>
      <c r="B47" s="4">
        <f>HUNGARY2008ttl!B43/HUNGARY2008ttl!$BE$2</f>
        <v>7.2893204166575527E-5</v>
      </c>
      <c r="C47" s="4">
        <f>HUNGARY2008ttl!C43/HUNGARY2008ttl!$BE$3</f>
        <v>1.6474464579901158E-3</v>
      </c>
      <c r="D47" s="4">
        <f>HUNGARY2008ttl!D43/HUNGARY2008ttl!$BE$4</f>
        <v>0</v>
      </c>
      <c r="E47" s="4">
        <f>HUNGARY2008ttl!E43/HUNGARY2008ttl!$BE$5</f>
        <v>0</v>
      </c>
      <c r="F47" s="4">
        <f>HUNGARY2008ttl!F43/HUNGARY2008ttl!$BE$6</f>
        <v>5.3937432578209283E-4</v>
      </c>
      <c r="G47" s="4">
        <f>HUNGARY2008ttl!G43/HUNGARY2008ttl!$BE$7</f>
        <v>3.9103500792360413E-4</v>
      </c>
      <c r="H47" s="4">
        <f>HUNGARY2008ttl!H43/HUNGARY2008ttl!$BE$8</f>
        <v>6.2769010043041602E-4</v>
      </c>
      <c r="I47" s="4">
        <f>HUNGARY2008ttl!I43/HUNGARY2008ttl!$BE$9</f>
        <v>5.9661915810407687E-4</v>
      </c>
      <c r="J47" s="4">
        <f>HUNGARY2008ttl!J43/HUNGARY2008ttl!$BE$10</f>
        <v>4.0406761398073938E-4</v>
      </c>
      <c r="K47" s="4">
        <f>HUNGARY2008ttl!K43/HUNGARY2008ttl!$BE$11</f>
        <v>1.5595433657025222E-4</v>
      </c>
      <c r="L47" s="4">
        <f>HUNGARY2008ttl!L43/HUNGARY2008ttl!$BE$12</f>
        <v>4.2112972626567776E-4</v>
      </c>
      <c r="M47" s="4">
        <f>HUNGARY2008ttl!M43/HUNGARY2008ttl!$BE$13</f>
        <v>7.210787792760822E-3</v>
      </c>
      <c r="N47" s="4">
        <f>HUNGARY2008ttl!N43/HUNGARY2008ttl!$BE$14</f>
        <v>4.3882242954992071E-4</v>
      </c>
      <c r="O47" s="4">
        <f>HUNGARY2008ttl!O43/HUNGARY2008ttl!$BE$15</f>
        <v>4.5517703991183948E-4</v>
      </c>
      <c r="P47" s="4">
        <f>HUNGARY2008ttl!P43/HUNGARY2008ttl!$BE$16</f>
        <v>5.2459291589726346E-4</v>
      </c>
      <c r="Q47" s="4">
        <f>HUNGARY2008ttl!Q43/HUNGARY2008ttl!$BE$17</f>
        <v>3.6081544290095615E-4</v>
      </c>
      <c r="R47" s="4">
        <f>HUNGARY2008ttl!R43/HUNGARY2008ttl!$BE$18</f>
        <v>3.2574580382179066E-4</v>
      </c>
      <c r="S47" s="4">
        <f>HUNGARY2008ttl!S43/HUNGARY2008ttl!$BE$19</f>
        <v>2.7998928736639643E-4</v>
      </c>
      <c r="T47" s="4">
        <f>HUNGARY2008ttl!T43/HUNGARY2008ttl!$BE$20</f>
        <v>4.5342905724541862E-4</v>
      </c>
      <c r="U47" s="4">
        <f>HUNGARY2008ttl!U43/HUNGARY2008ttl!$BE$21</f>
        <v>2.4581182479866342E-4</v>
      </c>
      <c r="V47" s="4">
        <f>HUNGARY2008ttl!V43/HUNGARY2008ttl!$BE$22</f>
        <v>4.8437878420925178E-4</v>
      </c>
      <c r="W47" s="4">
        <f>HUNGARY2008ttl!W43/HUNGARY2008ttl!$BE$23</f>
        <v>9.6656811462360716E-4</v>
      </c>
      <c r="X47" s="4">
        <f>HUNGARY2008ttl!X43/HUNGARY2008ttl!$BE$24</f>
        <v>5.6369197365261975E-4</v>
      </c>
      <c r="Y47" s="4">
        <f>HUNGARY2008ttl!Y43/HUNGARY2008ttl!$BE$25</f>
        <v>3.2551869266432116E-3</v>
      </c>
      <c r="Z47" s="4">
        <f>HUNGARY2008ttl!Z43/HUNGARY2008ttl!$BE$26</f>
        <v>3.1039656034626467E-4</v>
      </c>
      <c r="AA47" s="4">
        <f>HUNGARY2008ttl!AA43/HUNGARY2008ttl!$BE$27</f>
        <v>1.0026594931678537E-3</v>
      </c>
      <c r="AB47" s="4">
        <f>HUNGARY2008ttl!AB43/HUNGARY2008ttl!$BE$28</f>
        <v>2.8277660648088009E-3</v>
      </c>
      <c r="AC47" s="4">
        <f>HUNGARY2008ttl!AC43/HUNGARY2008ttl!$BE$29</f>
        <v>1.1650485436893198E-3</v>
      </c>
      <c r="AD47" s="4">
        <f>HUNGARY2008ttl!AD43/HUNGARY2008ttl!$BE$30</f>
        <v>5.4280397022332498E-4</v>
      </c>
      <c r="AE47" s="4">
        <f>HUNGARY2008ttl!AE43/HUNGARY2008ttl!$BE$31</f>
        <v>5.4762291092000652E-4</v>
      </c>
      <c r="AF47" s="4">
        <f>HUNGARY2008ttl!AF43/HUNGARY2008ttl!$BE$32</f>
        <v>1.3204588594536604E-3</v>
      </c>
      <c r="AG47" s="4">
        <f>HUNGARY2008ttl!AG43/HUNGARY2008ttl!$BE$33</f>
        <v>2.6354954731489517E-3</v>
      </c>
      <c r="AH47" s="4">
        <f>HUNGARY2008ttl!AH43/HUNGARY2008ttl!$BE$34</f>
        <v>2.8366380166226985E-4</v>
      </c>
      <c r="AI47" s="4">
        <f>HUNGARY2008ttl!AI43/HUNGARY2008ttl!$BE$35</f>
        <v>1.6896966055872638E-4</v>
      </c>
      <c r="AJ47" s="4">
        <f>HUNGARY2008ttl!AJ43/HUNGARY2008ttl!$BE$36</f>
        <v>5.1159158835725228E-4</v>
      </c>
      <c r="AK47" s="4">
        <f>HUNGARY2008ttl!AK43/HUNGARY2008ttl!$BE$37</f>
        <v>4.7366759061085578E-4</v>
      </c>
      <c r="AL47" s="4">
        <f>HUNGARY2008ttl!AL43/HUNGARY2008ttl!$BE$38</f>
        <v>2.6431407560557289E-4</v>
      </c>
      <c r="AM47" s="4">
        <f>HUNGARY2008ttl!AM43/HUNGARY2008ttl!$BE$39</f>
        <v>4.3374710178072887E-4</v>
      </c>
      <c r="AN47" s="4">
        <f>HUNGARY2008ttl!AN43/HUNGARY2008ttl!$BE$40</f>
        <v>1.3043591683405944E-3</v>
      </c>
      <c r="AO47" s="4">
        <f>HUNGARY2008ttl!AO43/HUNGARY2008ttl!$BE$41</f>
        <v>1.1827394736186848E-4</v>
      </c>
      <c r="AP47" s="4">
        <f>HUNGARY2008ttl!AP43/HUNGARY2008ttl!$BE$42</f>
        <v>3.0761949834358739E-4</v>
      </c>
      <c r="AQ47" s="4">
        <f>HUNGARY2008ttl!AQ43/HUNGARY2008ttl!$BE$43</f>
        <v>4.4107085639784771E-2</v>
      </c>
      <c r="AR47" s="4">
        <f>HUNGARY2008ttl!AR43/HUNGARY2008ttl!$BE$44</f>
        <v>1.0277492291880779E-3</v>
      </c>
      <c r="AS47" s="4">
        <f>HUNGARY2008ttl!AS43/HUNGARY2008ttl!$BE$45</f>
        <v>3.2602252519264973E-3</v>
      </c>
      <c r="AT47" s="4">
        <f>HUNGARY2008ttl!AT43/HUNGARY2008ttl!$BE$46</f>
        <v>0</v>
      </c>
    </row>
    <row r="48" spans="1:46" x14ac:dyDescent="0.3">
      <c r="A48" s="19" t="s">
        <v>96</v>
      </c>
      <c r="B48" s="4">
        <f>HUNGARY2008ttl!B44/HUNGARY2008ttl!$BE$2</f>
        <v>2.6970485541632946E-4</v>
      </c>
      <c r="C48" s="4">
        <f>HUNGARY2008ttl!C44/HUNGARY2008ttl!$BE$3</f>
        <v>0</v>
      </c>
      <c r="D48" s="4">
        <f>HUNGARY2008ttl!D44/HUNGARY2008ttl!$BE$4</f>
        <v>0</v>
      </c>
      <c r="E48" s="4">
        <f>HUNGARY2008ttl!E44/HUNGARY2008ttl!$BE$5</f>
        <v>1.0103561505430663E-3</v>
      </c>
      <c r="F48" s="4">
        <f>HUNGARY2008ttl!F44/HUNGARY2008ttl!$BE$6</f>
        <v>0</v>
      </c>
      <c r="G48" s="4">
        <f>HUNGARY2008ttl!G44/HUNGARY2008ttl!$BE$7</f>
        <v>7.8207001584720826E-4</v>
      </c>
      <c r="H48" s="4">
        <f>HUNGARY2008ttl!H44/HUNGARY2008ttl!$BE$8</f>
        <v>6.2769010043041602E-4</v>
      </c>
      <c r="I48" s="4">
        <f>HUNGARY2008ttl!I44/HUNGARY2008ttl!$BE$9</f>
        <v>5.3032814053695723E-4</v>
      </c>
      <c r="J48" s="4">
        <f>HUNGARY2008ttl!J44/HUNGARY2008ttl!$BE$10</f>
        <v>7.7446292679641713E-4</v>
      </c>
      <c r="K48" s="4">
        <f>HUNGARY2008ttl!K44/HUNGARY2008ttl!$BE$11</f>
        <v>1.767482481129525E-4</v>
      </c>
      <c r="L48" s="4">
        <f>HUNGARY2008ttl!L44/HUNGARY2008ttl!$BE$12</f>
        <v>4.2112972626567776E-4</v>
      </c>
      <c r="M48" s="4">
        <f>HUNGARY2008ttl!M44/HUNGARY2008ttl!$BE$13</f>
        <v>1.0220014194464158E-3</v>
      </c>
      <c r="N48" s="4">
        <f>HUNGARY2008ttl!N44/HUNGARY2008ttl!$BE$14</f>
        <v>7.2501097056073855E-4</v>
      </c>
      <c r="O48" s="4">
        <f>HUNGARY2008ttl!O44/HUNGARY2008ttl!$BE$15</f>
        <v>4.5517703991183948E-4</v>
      </c>
      <c r="P48" s="4">
        <f>HUNGARY2008ttl!P44/HUNGARY2008ttl!$BE$16</f>
        <v>3.5672318281013918E-4</v>
      </c>
      <c r="Q48" s="4">
        <f>HUNGARY2008ttl!Q44/HUNGARY2008ttl!$BE$17</f>
        <v>6.7242877995178174E-4</v>
      </c>
      <c r="R48" s="4">
        <f>HUNGARY2008ttl!R44/HUNGARY2008ttl!$BE$18</f>
        <v>5.1062855734226636E-4</v>
      </c>
      <c r="S48" s="4">
        <f>HUNGARY2008ttl!S44/HUNGARY2008ttl!$BE$19</f>
        <v>3.8955031285759509E-4</v>
      </c>
      <c r="T48" s="4">
        <f>HUNGARY2008ttl!T44/HUNGARY2008ttl!$BE$20</f>
        <v>5.6678632155677329E-4</v>
      </c>
      <c r="U48" s="4">
        <f>HUNGARY2008ttl!U44/HUNGARY2008ttl!$BE$21</f>
        <v>2.8747484595097921E-4</v>
      </c>
      <c r="V48" s="4">
        <f>HUNGARY2008ttl!V44/HUNGARY2008ttl!$BE$22</f>
        <v>4.8437878420925178E-4</v>
      </c>
      <c r="W48" s="4">
        <f>HUNGARY2008ttl!W44/HUNGARY2008ttl!$BE$23</f>
        <v>5.685694791903571E-4</v>
      </c>
      <c r="X48" s="4">
        <f>HUNGARY2008ttl!X44/HUNGARY2008ttl!$BE$24</f>
        <v>4.0711086986022532E-4</v>
      </c>
      <c r="Y48" s="4">
        <f>HUNGARY2008ttl!Y44/HUNGARY2008ttl!$BE$25</f>
        <v>7.8913622464077849E-4</v>
      </c>
      <c r="Z48" s="4">
        <f>HUNGARY2008ttl!Z44/HUNGARY2008ttl!$BE$26</f>
        <v>7.9898373866908864E-4</v>
      </c>
      <c r="AA48" s="4">
        <f>HUNGARY2008ttl!AA44/HUNGARY2008ttl!$BE$27</f>
        <v>1.3908843579005289E-3</v>
      </c>
      <c r="AB48" s="4">
        <f>HUNGARY2008ttl!AB44/HUNGARY2008ttl!$BE$28</f>
        <v>9.5924219866305597E-4</v>
      </c>
      <c r="AC48" s="4">
        <f>HUNGARY2008ttl!AC44/HUNGARY2008ttl!$BE$29</f>
        <v>3.8834951456310666E-4</v>
      </c>
      <c r="AD48" s="4">
        <f>HUNGARY2008ttl!AD44/HUNGARY2008ttl!$BE$30</f>
        <v>4.6526054590570714E-4</v>
      </c>
      <c r="AE48" s="4">
        <f>HUNGARY2008ttl!AE44/HUNGARY2008ttl!$BE$31</f>
        <v>3.6305370760993023E-3</v>
      </c>
      <c r="AF48" s="4">
        <f>HUNGARY2008ttl!AF44/HUNGARY2008ttl!$BE$32</f>
        <v>6.6022942972683021E-4</v>
      </c>
      <c r="AG48" s="4">
        <f>HUNGARY2008ttl!AG44/HUNGARY2008ttl!$BE$33</f>
        <v>1.5502914547935011E-3</v>
      </c>
      <c r="AH48" s="4">
        <f>HUNGARY2008ttl!AH44/HUNGARY2008ttl!$BE$34</f>
        <v>1.0240263240007942E-2</v>
      </c>
      <c r="AI48" s="4">
        <f>HUNGARY2008ttl!AI44/HUNGARY2008ttl!$BE$35</f>
        <v>1.0325923700811057E-3</v>
      </c>
      <c r="AJ48" s="4">
        <f>HUNGARY2008ttl!AJ44/HUNGARY2008ttl!$BE$36</f>
        <v>1.3193677805002826E-3</v>
      </c>
      <c r="AK48" s="4">
        <f>HUNGARY2008ttl!AK44/HUNGARY2008ttl!$BE$37</f>
        <v>7.1050138591628362E-4</v>
      </c>
      <c r="AL48" s="4">
        <f>HUNGARY2008ttl!AL44/HUNGARY2008ttl!$BE$38</f>
        <v>8.1643681131499189E-4</v>
      </c>
      <c r="AM48" s="4">
        <f>HUNGARY2008ttl!AM44/HUNGARY2008ttl!$BE$39</f>
        <v>1.4274222804056714E-3</v>
      </c>
      <c r="AN48" s="4">
        <f>HUNGARY2008ttl!AN44/HUNGARY2008ttl!$BE$40</f>
        <v>5.2174366733623778E-3</v>
      </c>
      <c r="AO48" s="4">
        <f>HUNGARY2008ttl!AO44/HUNGARY2008ttl!$BE$41</f>
        <v>2.9879734070366776E-4</v>
      </c>
      <c r="AP48" s="4">
        <f>HUNGARY2008ttl!AP44/HUNGARY2008ttl!$BE$42</f>
        <v>1.1831519167061053E-4</v>
      </c>
      <c r="AQ48" s="4">
        <f>HUNGARY2008ttl!AQ44/HUNGARY2008ttl!$BE$43</f>
        <v>6.2978554144983267E-4</v>
      </c>
      <c r="AR48" s="4">
        <f>HUNGARY2008ttl!AR44/HUNGARY2008ttl!$BE$44</f>
        <v>5.2747717792152829E-2</v>
      </c>
      <c r="AS48" s="4">
        <f>HUNGARY2008ttl!AS44/HUNGARY2008ttl!$BE$45</f>
        <v>3.2602252519264973E-3</v>
      </c>
      <c r="AT48" s="4">
        <f>HUNGARY2008ttl!AT44/HUNGARY2008ttl!$BE$46</f>
        <v>0</v>
      </c>
    </row>
    <row r="49" spans="1:46" x14ac:dyDescent="0.3">
      <c r="A49" s="19" t="s">
        <v>97</v>
      </c>
      <c r="B49" s="4">
        <f>HUNGARY2008ttl!B45/HUNGARY2008ttl!$BE$2</f>
        <v>1.8660660266643335E-3</v>
      </c>
      <c r="C49" s="4">
        <f>HUNGARY2008ttl!C45/HUNGARY2008ttl!$BE$3</f>
        <v>3.2948929159802316E-3</v>
      </c>
      <c r="D49" s="4">
        <f>HUNGARY2008ttl!D45/HUNGARY2008ttl!$BE$4</f>
        <v>7.8554595443832797E-4</v>
      </c>
      <c r="E49" s="4">
        <f>HUNGARY2008ttl!E45/HUNGARY2008ttl!$BE$5</f>
        <v>1.2629451881788327E-3</v>
      </c>
      <c r="F49" s="4">
        <f>HUNGARY2008ttl!F45/HUNGARY2008ttl!$BE$6</f>
        <v>1.0787486515641857E-3</v>
      </c>
      <c r="G49" s="4">
        <f>HUNGARY2008ttl!G45/HUNGARY2008ttl!$BE$7</f>
        <v>2.0512187257746952E-3</v>
      </c>
      <c r="H49" s="4">
        <f>HUNGARY2008ttl!H45/HUNGARY2008ttl!$BE$8</f>
        <v>1.3450502152080343E-3</v>
      </c>
      <c r="I49" s="4">
        <f>HUNGARY2008ttl!I45/HUNGARY2008ttl!$BE$9</f>
        <v>1.2595293337752734E-3</v>
      </c>
      <c r="J49" s="4">
        <f>HUNGARY2008ttl!J45/HUNGARY2008ttl!$BE$10</f>
        <v>1.7172873594181425E-3</v>
      </c>
      <c r="K49" s="4">
        <f>HUNGARY2008ttl!K45/HUNGARY2008ttl!$BE$11</f>
        <v>6.1342039050965873E-4</v>
      </c>
      <c r="L49" s="4">
        <f>HUNGARY2008ttl!L45/HUNGARY2008ttl!$BE$12</f>
        <v>1.1901492264030024E-3</v>
      </c>
      <c r="M49" s="4">
        <f>HUNGARY2008ttl!M45/HUNGARY2008ttl!$BE$13</f>
        <v>1.8736692689850954E-3</v>
      </c>
      <c r="N49" s="4">
        <f>HUNGARY2008ttl!N45/HUNGARY2008ttl!$BE$14</f>
        <v>1.1447541640432714E-3</v>
      </c>
      <c r="O49" s="4">
        <f>HUNGARY2008ttl!O45/HUNGARY2008ttl!$BE$15</f>
        <v>1.2936610608020702E-3</v>
      </c>
      <c r="P49" s="4">
        <f>HUNGARY2008ttl!P45/HUNGARY2008ttl!$BE$16</f>
        <v>7.5541379889205941E-4</v>
      </c>
      <c r="Q49" s="4">
        <f>HUNGARY2008ttl!Q45/HUNGARY2008ttl!$BE$17</f>
        <v>1.0660456267528248E-3</v>
      </c>
      <c r="R49" s="4">
        <f>HUNGARY2008ttl!R45/HUNGARY2008ttl!$BE$18</f>
        <v>1.3558068591501557E-3</v>
      </c>
      <c r="S49" s="4">
        <f>HUNGARY2008ttl!S45/HUNGARY2008ttl!$BE$19</f>
        <v>1.0590899130815865E-3</v>
      </c>
      <c r="T49" s="4">
        <f>HUNGARY2008ttl!T45/HUNGARY2008ttl!$BE$20</f>
        <v>1.265822784810127E-3</v>
      </c>
      <c r="U49" s="4">
        <f>HUNGARY2008ttl!U45/HUNGARY2008ttl!$BE$21</f>
        <v>5.8328229613242161E-4</v>
      </c>
      <c r="V49" s="4">
        <f>HUNGARY2008ttl!V45/HUNGARY2008ttl!$BE$22</f>
        <v>1.2109469605231294E-3</v>
      </c>
      <c r="W49" s="4">
        <f>HUNGARY2008ttl!W45/HUNGARY2008ttl!$BE$23</f>
        <v>1.819422333409143E-3</v>
      </c>
      <c r="X49" s="4">
        <f>HUNGARY2008ttl!X45/HUNGARY2008ttl!$BE$24</f>
        <v>3.2046932576176709E-3</v>
      </c>
      <c r="Y49" s="4">
        <f>HUNGARY2008ttl!Y45/HUNGARY2008ttl!$BE$25</f>
        <v>5.030743432084964E-3</v>
      </c>
      <c r="Z49" s="4">
        <f>HUNGARY2008ttl!Z45/HUNGARY2008ttl!$BE$26</f>
        <v>2.1325393312678553E-3</v>
      </c>
      <c r="AA49" s="4">
        <f>HUNGARY2008ttl!AA45/HUNGARY2008ttl!$BE$27</f>
        <v>4.8298841439183195E-3</v>
      </c>
      <c r="AB49" s="4">
        <f>HUNGARY2008ttl!AB45/HUNGARY2008ttl!$BE$28</f>
        <v>1.8885080786178914E-3</v>
      </c>
      <c r="AC49" s="4">
        <f>HUNGARY2008ttl!AC45/HUNGARY2008ttl!$BE$29</f>
        <v>2.7184466019417462E-3</v>
      </c>
      <c r="AD49" s="4">
        <f>HUNGARY2008ttl!AD45/HUNGARY2008ttl!$BE$30</f>
        <v>3.1017369727047144E-3</v>
      </c>
      <c r="AE49" s="4">
        <f>HUNGARY2008ttl!AE45/HUNGARY2008ttl!$BE$31</f>
        <v>6.4903456109037813E-3</v>
      </c>
      <c r="AF49" s="4">
        <f>HUNGARY2008ttl!AF45/HUNGARY2008ttl!$BE$32</f>
        <v>3.1360897912024433E-3</v>
      </c>
      <c r="AG49" s="4">
        <f>HUNGARY2008ttl!AG45/HUNGARY2008ttl!$BE$33</f>
        <v>4.4338335607094128E-3</v>
      </c>
      <c r="AH49" s="4">
        <f>HUNGARY2008ttl!AH45/HUNGARY2008ttl!$BE$34</f>
        <v>3.8010949422744161E-3</v>
      </c>
      <c r="AI49" s="4">
        <f>HUNGARY2008ttl!AI45/HUNGARY2008ttl!$BE$35</f>
        <v>5.2192850705917709E-3</v>
      </c>
      <c r="AJ49" s="4">
        <f>HUNGARY2008ttl!AJ45/HUNGARY2008ttl!$BE$36</f>
        <v>9.2625003365734097E-3</v>
      </c>
      <c r="AK49" s="4">
        <f>HUNGARY2008ttl!AK45/HUNGARY2008ttl!$BE$37</f>
        <v>4.508613732851479E-3</v>
      </c>
      <c r="AL49" s="4">
        <f>HUNGARY2008ttl!AL45/HUNGARY2008ttl!$BE$38</f>
        <v>5.8501515400700135E-3</v>
      </c>
      <c r="AM49" s="4">
        <f>HUNGARY2008ttl!AM45/HUNGARY2008ttl!$BE$39</f>
        <v>5.8516427185691059E-3</v>
      </c>
      <c r="AN49" s="4">
        <f>HUNGARY2008ttl!AN45/HUNGARY2008ttl!$BE$40</f>
        <v>5.9870085826833289E-3</v>
      </c>
      <c r="AO49" s="4">
        <f>HUNGARY2008ttl!AO45/HUNGARY2008ttl!$BE$41</f>
        <v>2.732750678518961E-3</v>
      </c>
      <c r="AP49" s="4">
        <f>HUNGARY2008ttl!AP45/HUNGARY2008ttl!$BE$42</f>
        <v>2.5556081400851878E-3</v>
      </c>
      <c r="AQ49" s="4">
        <f>HUNGARY2008ttl!AQ45/HUNGARY2008ttl!$BE$43</f>
        <v>2.7953638945053976E-3</v>
      </c>
      <c r="AR49" s="4">
        <f>HUNGARY2008ttl!AR45/HUNGARY2008ttl!$BE$44</f>
        <v>6.5896862342059125E-3</v>
      </c>
      <c r="AS49" s="4">
        <f>HUNGARY2008ttl!AS45/HUNGARY2008ttl!$BE$45</f>
        <v>3.9023908318514136E-3</v>
      </c>
      <c r="AT49" s="4">
        <f>HUNGARY2008ttl!AT45/HUNGARY2008ttl!$BE$46</f>
        <v>0</v>
      </c>
    </row>
    <row r="50" spans="1:46" x14ac:dyDescent="0.3">
      <c r="A50" s="19" t="s">
        <v>98</v>
      </c>
      <c r="B50" s="4">
        <f>HUNGARY2008ttl!B46/HUNGARY2008ttl!$BE$2</f>
        <v>0</v>
      </c>
      <c r="C50" s="4">
        <f>HUNGARY2008ttl!C46/HUNGARY2008ttl!$BE$3</f>
        <v>0</v>
      </c>
      <c r="D50" s="4">
        <f>HUNGARY2008ttl!D46/HUNGARY2008ttl!$BE$4</f>
        <v>0</v>
      </c>
      <c r="E50" s="4">
        <f>HUNGARY2008ttl!E46/HUNGARY2008ttl!$BE$5</f>
        <v>0</v>
      </c>
      <c r="F50" s="4">
        <f>HUNGARY2008ttl!F46/HUNGARY2008ttl!$BE$6</f>
        <v>0</v>
      </c>
      <c r="G50" s="4">
        <f>HUNGARY2008ttl!G46/HUNGARY2008ttl!$BE$7</f>
        <v>0</v>
      </c>
      <c r="H50" s="4">
        <f>HUNGARY2008ttl!H46/HUNGARY2008ttl!$BE$8</f>
        <v>0</v>
      </c>
      <c r="I50" s="4">
        <f>HUNGARY2008ttl!I46/HUNGARY2008ttl!$BE$9</f>
        <v>0</v>
      </c>
      <c r="J50" s="4">
        <f>HUNGARY2008ttl!J46/HUNGARY2008ttl!$BE$10</f>
        <v>0</v>
      </c>
      <c r="K50" s="4">
        <f>HUNGARY2008ttl!K46/HUNGARY2008ttl!$BE$11</f>
        <v>0</v>
      </c>
      <c r="L50" s="4">
        <f>HUNGARY2008ttl!L46/HUNGARY2008ttl!$BE$12</f>
        <v>0</v>
      </c>
      <c r="M50" s="4">
        <f>HUNGARY2008ttl!M46/HUNGARY2008ttl!$BE$13</f>
        <v>0</v>
      </c>
      <c r="N50" s="4">
        <f>HUNGARY2008ttl!N46/HUNGARY2008ttl!$BE$14</f>
        <v>0</v>
      </c>
      <c r="O50" s="4">
        <f>HUNGARY2008ttl!O46/HUNGARY2008ttl!$BE$15</f>
        <v>0</v>
      </c>
      <c r="P50" s="4">
        <f>HUNGARY2008ttl!P46/HUNGARY2008ttl!$BE$16</f>
        <v>0</v>
      </c>
      <c r="Q50" s="4">
        <f>HUNGARY2008ttl!Q46/HUNGARY2008ttl!$BE$17</f>
        <v>0</v>
      </c>
      <c r="R50" s="4">
        <f>HUNGARY2008ttl!R46/HUNGARY2008ttl!$BE$18</f>
        <v>0</v>
      </c>
      <c r="S50" s="4">
        <f>HUNGARY2008ttl!S46/HUNGARY2008ttl!$BE$19</f>
        <v>0</v>
      </c>
      <c r="T50" s="4">
        <f>HUNGARY2008ttl!T46/HUNGARY2008ttl!$BE$20</f>
        <v>0</v>
      </c>
      <c r="U50" s="4">
        <f>HUNGARY2008ttl!U46/HUNGARY2008ttl!$BE$21</f>
        <v>0</v>
      </c>
      <c r="V50" s="4">
        <f>HUNGARY2008ttl!V46/HUNGARY2008ttl!$BE$22</f>
        <v>0</v>
      </c>
      <c r="W50" s="4">
        <f>HUNGARY2008ttl!W46/HUNGARY2008ttl!$BE$23</f>
        <v>0</v>
      </c>
      <c r="X50" s="4">
        <f>HUNGARY2008ttl!X46/HUNGARY2008ttl!$BE$24</f>
        <v>0</v>
      </c>
      <c r="Y50" s="4">
        <f>HUNGARY2008ttl!Y46/HUNGARY2008ttl!$BE$25</f>
        <v>0</v>
      </c>
      <c r="Z50" s="4">
        <f>HUNGARY2008ttl!Z46/HUNGARY2008ttl!$BE$26</f>
        <v>0</v>
      </c>
      <c r="AA50" s="4">
        <f>HUNGARY2008ttl!AA46/HUNGARY2008ttl!$BE$27</f>
        <v>0</v>
      </c>
      <c r="AB50" s="4">
        <f>HUNGARY2008ttl!AB46/HUNGARY2008ttl!$BE$28</f>
        <v>0</v>
      </c>
      <c r="AC50" s="4">
        <f>HUNGARY2008ttl!AC46/HUNGARY2008ttl!$BE$29</f>
        <v>0</v>
      </c>
      <c r="AD50" s="4">
        <f>HUNGARY2008ttl!AD46/HUNGARY2008ttl!$BE$30</f>
        <v>0</v>
      </c>
      <c r="AE50" s="4">
        <f>HUNGARY2008ttl!AE46/HUNGARY2008ttl!$BE$31</f>
        <v>0</v>
      </c>
      <c r="AF50" s="4">
        <f>HUNGARY2008ttl!AF46/HUNGARY2008ttl!$BE$32</f>
        <v>0</v>
      </c>
      <c r="AG50" s="4">
        <f>HUNGARY2008ttl!AG46/HUNGARY2008ttl!$BE$33</f>
        <v>0</v>
      </c>
      <c r="AH50" s="4">
        <f>HUNGARY2008ttl!AH46/HUNGARY2008ttl!$BE$34</f>
        <v>0</v>
      </c>
      <c r="AI50" s="4">
        <f>HUNGARY2008ttl!AI46/HUNGARY2008ttl!$BE$35</f>
        <v>0</v>
      </c>
      <c r="AJ50" s="4">
        <f>HUNGARY2008ttl!AJ46/HUNGARY2008ttl!$BE$36</f>
        <v>0</v>
      </c>
      <c r="AK50" s="4">
        <f>HUNGARY2008ttl!AK46/HUNGARY2008ttl!$BE$37</f>
        <v>0</v>
      </c>
      <c r="AL50" s="4">
        <f>HUNGARY2008ttl!AL46/HUNGARY2008ttl!$BE$38</f>
        <v>0</v>
      </c>
      <c r="AM50" s="4">
        <f>HUNGARY2008ttl!AM46/HUNGARY2008ttl!$BE$39</f>
        <v>0</v>
      </c>
      <c r="AN50" s="4">
        <f>HUNGARY2008ttl!AN46/HUNGARY2008ttl!$BE$40</f>
        <v>0</v>
      </c>
      <c r="AO50" s="4">
        <f>HUNGARY2008ttl!AO46/HUNGARY2008ttl!$BE$41</f>
        <v>0</v>
      </c>
      <c r="AP50" s="4">
        <f>HUNGARY2008ttl!AP46/HUNGARY2008ttl!$BE$42</f>
        <v>0</v>
      </c>
      <c r="AQ50" s="4">
        <f>HUNGARY2008ttl!AQ46/HUNGARY2008ttl!$BE$43</f>
        <v>0</v>
      </c>
      <c r="AR50" s="4">
        <f>HUNGARY2008ttl!AR46/HUNGARY2008ttl!$BE$44</f>
        <v>0</v>
      </c>
      <c r="AS50" s="4">
        <f>HUNGARY2008ttl!AS46/HUNGARY2008ttl!$BE$45</f>
        <v>0</v>
      </c>
      <c r="AT50" s="4">
        <f>HUNGARY2008ttl!AT46/HUNGARY2008ttl!$BE$46</f>
        <v>0</v>
      </c>
    </row>
    <row r="53" spans="1:46" ht="14.4" customHeight="1" x14ac:dyDescent="0.3">
      <c r="B53" s="58" t="s">
        <v>232</v>
      </c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</row>
    <row r="54" spans="1:46" ht="14.4" customHeight="1" x14ac:dyDescent="0.3"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</row>
    <row r="57" spans="1:46" x14ac:dyDescent="0.3">
      <c r="B57" s="15">
        <v>1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</row>
    <row r="58" spans="1:46" x14ac:dyDescent="0.3">
      <c r="B58" s="15">
        <v>0</v>
      </c>
      <c r="C58" s="15">
        <v>1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</row>
    <row r="59" spans="1:46" x14ac:dyDescent="0.3">
      <c r="B59" s="15">
        <v>0</v>
      </c>
      <c r="C59" s="15">
        <v>0</v>
      </c>
      <c r="D59" s="15">
        <v>1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</row>
    <row r="60" spans="1:46" x14ac:dyDescent="0.3">
      <c r="B60" s="15">
        <v>0</v>
      </c>
      <c r="C60" s="15">
        <v>0</v>
      </c>
      <c r="D60" s="15">
        <v>0</v>
      </c>
      <c r="E60" s="15">
        <v>1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</row>
    <row r="61" spans="1:46" x14ac:dyDescent="0.3">
      <c r="B61" s="15">
        <v>0</v>
      </c>
      <c r="C61" s="15">
        <v>0</v>
      </c>
      <c r="D61" s="15">
        <v>0</v>
      </c>
      <c r="E61" s="15">
        <v>0</v>
      </c>
      <c r="F61" s="15">
        <v>1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</row>
    <row r="62" spans="1:46" x14ac:dyDescent="0.3"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1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</row>
    <row r="63" spans="1:46" x14ac:dyDescent="0.3"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1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</row>
    <row r="64" spans="1:46" x14ac:dyDescent="0.3"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</row>
    <row r="65" spans="2:46" x14ac:dyDescent="0.3"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1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</row>
    <row r="66" spans="2:46" x14ac:dyDescent="0.3"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1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</row>
    <row r="67" spans="2:46" x14ac:dyDescent="0.3"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1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</row>
    <row r="68" spans="2:46" x14ac:dyDescent="0.3"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1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</row>
    <row r="69" spans="2:46" x14ac:dyDescent="0.3"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1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</row>
    <row r="70" spans="2:46" x14ac:dyDescent="0.3"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</row>
    <row r="71" spans="2:46" x14ac:dyDescent="0.3"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1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</row>
    <row r="72" spans="2:46" x14ac:dyDescent="0.3"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</row>
    <row r="73" spans="2:46" x14ac:dyDescent="0.3"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1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</row>
    <row r="74" spans="2:46" x14ac:dyDescent="0.3"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1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</row>
    <row r="75" spans="2:46" x14ac:dyDescent="0.3"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1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</row>
    <row r="76" spans="2:46" x14ac:dyDescent="0.3"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1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</row>
    <row r="77" spans="2:46" x14ac:dyDescent="0.3"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1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</row>
    <row r="78" spans="2:46" x14ac:dyDescent="0.3"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1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</row>
    <row r="79" spans="2:46" x14ac:dyDescent="0.3"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1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</row>
    <row r="80" spans="2:46" x14ac:dyDescent="0.3"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1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</row>
    <row r="81" spans="2:46" x14ac:dyDescent="0.3"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1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</row>
    <row r="82" spans="2:46" x14ac:dyDescent="0.3"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1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</row>
    <row r="83" spans="2:46" x14ac:dyDescent="0.3"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1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</row>
    <row r="84" spans="2:46" x14ac:dyDescent="0.3"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1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</row>
    <row r="85" spans="2:46" x14ac:dyDescent="0.3"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1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</row>
    <row r="86" spans="2:46" x14ac:dyDescent="0.3"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1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</row>
    <row r="87" spans="2:46" x14ac:dyDescent="0.3"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1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</row>
    <row r="88" spans="2:46" x14ac:dyDescent="0.3"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1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</row>
    <row r="89" spans="2:46" x14ac:dyDescent="0.3"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1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</row>
    <row r="90" spans="2:46" x14ac:dyDescent="0.3"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1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</row>
    <row r="91" spans="2:46" x14ac:dyDescent="0.3"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1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</row>
    <row r="92" spans="2:46" x14ac:dyDescent="0.3"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1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</row>
    <row r="93" spans="2:46" x14ac:dyDescent="0.3"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1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</row>
    <row r="94" spans="2:46" x14ac:dyDescent="0.3"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1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</row>
    <row r="95" spans="2:46" x14ac:dyDescent="0.3"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1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</row>
    <row r="96" spans="2:46" x14ac:dyDescent="0.3"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1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</row>
    <row r="97" spans="2:46" x14ac:dyDescent="0.3"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1</v>
      </c>
      <c r="AQ97" s="15">
        <v>0</v>
      </c>
      <c r="AR97" s="15">
        <v>0</v>
      </c>
      <c r="AS97" s="15">
        <v>0</v>
      </c>
      <c r="AT97" s="15">
        <v>0</v>
      </c>
    </row>
    <row r="98" spans="2:46" x14ac:dyDescent="0.3"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1</v>
      </c>
      <c r="AR98" s="15">
        <v>0</v>
      </c>
      <c r="AS98" s="15">
        <v>0</v>
      </c>
      <c r="AT98" s="15">
        <v>0</v>
      </c>
    </row>
    <row r="99" spans="2:46" x14ac:dyDescent="0.3"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1</v>
      </c>
      <c r="AS99" s="15">
        <v>0</v>
      </c>
      <c r="AT99" s="15">
        <v>0</v>
      </c>
    </row>
    <row r="100" spans="2:46" x14ac:dyDescent="0.3">
      <c r="B100" s="15">
        <v>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</v>
      </c>
      <c r="AT100" s="15">
        <v>0</v>
      </c>
    </row>
    <row r="101" spans="2:46" x14ac:dyDescent="0.3"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1</v>
      </c>
    </row>
    <row r="104" spans="2:46" ht="14.4" customHeight="1" x14ac:dyDescent="0.3">
      <c r="B104" s="59" t="s">
        <v>231</v>
      </c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</row>
    <row r="105" spans="2:46" x14ac:dyDescent="0.3"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</row>
    <row r="108" spans="2:46" x14ac:dyDescent="0.3">
      <c r="B108" s="45">
        <f t="shared" ref="B108:AT108" si="0">B57-B6</f>
        <v>0.79465984386275679</v>
      </c>
      <c r="C108" s="45">
        <f t="shared" si="0"/>
        <v>-8.4019769357495888E-2</v>
      </c>
      <c r="D108" s="45">
        <f t="shared" si="0"/>
        <v>-2.3566378633149837E-3</v>
      </c>
      <c r="E108" s="45">
        <f t="shared" si="0"/>
        <v>-1.5155342258145992E-3</v>
      </c>
      <c r="F108" s="45">
        <f t="shared" si="0"/>
        <v>-1.0787486515641857E-3</v>
      </c>
      <c r="G108" s="45">
        <f t="shared" si="0"/>
        <v>-0.28006338883286341</v>
      </c>
      <c r="H108" s="45">
        <f t="shared" si="0"/>
        <v>-6.8597560975609756E-3</v>
      </c>
      <c r="I108" s="45">
        <f t="shared" si="0"/>
        <v>-6.8677494199535963E-2</v>
      </c>
      <c r="J108" s="45">
        <f t="shared" si="0"/>
        <v>-3.6029362246615929E-3</v>
      </c>
      <c r="K108" s="45">
        <f t="shared" si="0"/>
        <v>-1.8610550830716764E-3</v>
      </c>
      <c r="L108" s="45">
        <f t="shared" si="0"/>
        <v>-3.405657786322438E-3</v>
      </c>
      <c r="M108" s="45">
        <f t="shared" si="0"/>
        <v>-5.5926188786373301E-3</v>
      </c>
      <c r="N108" s="45">
        <f t="shared" si="0"/>
        <v>-8.8909240074027413E-3</v>
      </c>
      <c r="O108" s="45">
        <f t="shared" si="0"/>
        <v>-2.5394087489818413E-3</v>
      </c>
      <c r="P108" s="45">
        <f t="shared" si="0"/>
        <v>-1.6996810475071336E-3</v>
      </c>
      <c r="Q108" s="45">
        <f t="shared" si="0"/>
        <v>-1.6236694930543026E-3</v>
      </c>
      <c r="R108" s="45">
        <f t="shared" si="0"/>
        <v>-8.3197239084214093E-4</v>
      </c>
      <c r="S108" s="45">
        <f t="shared" si="0"/>
        <v>-1.740802960582378E-3</v>
      </c>
      <c r="T108" s="45">
        <f t="shared" si="0"/>
        <v>-1.7192518420555455E-3</v>
      </c>
      <c r="U108" s="45">
        <f t="shared" si="0"/>
        <v>-1.2707221451456329E-3</v>
      </c>
      <c r="V108" s="45">
        <f t="shared" si="0"/>
        <v>-1.3320416565754424E-3</v>
      </c>
      <c r="W108" s="45">
        <f t="shared" si="0"/>
        <v>-5.2876961564703217E-3</v>
      </c>
      <c r="X108" s="45">
        <f t="shared" si="0"/>
        <v>-1.1722705303923924E-2</v>
      </c>
      <c r="Y108" s="45">
        <f t="shared" si="0"/>
        <v>-2.9592608424029196E-3</v>
      </c>
      <c r="Z108" s="45">
        <f t="shared" si="0"/>
        <v>-2.4256916382615497E-3</v>
      </c>
      <c r="AA108" s="45">
        <f t="shared" si="0"/>
        <v>-1.2628007214257329E-2</v>
      </c>
      <c r="AB108" s="45">
        <f t="shared" si="0"/>
        <v>-1.7586106975489362E-3</v>
      </c>
      <c r="AC108" s="45">
        <f t="shared" si="0"/>
        <v>-2.7184466019417462E-3</v>
      </c>
      <c r="AD108" s="45">
        <f t="shared" si="0"/>
        <v>-2.8691066997518608E-3</v>
      </c>
      <c r="AE108" s="45">
        <f t="shared" si="0"/>
        <v>-3.1843258153496676E-3</v>
      </c>
      <c r="AF108" s="45">
        <f t="shared" si="0"/>
        <v>-4.1264339357926887E-4</v>
      </c>
      <c r="AG108" s="45">
        <f t="shared" si="0"/>
        <v>-1.8401959568398858E-2</v>
      </c>
      <c r="AH108" s="45">
        <f t="shared" si="0"/>
        <v>-2.411142314129294E-3</v>
      </c>
      <c r="AI108" s="45">
        <f t="shared" si="0"/>
        <v>-1.2766596575548214E-3</v>
      </c>
      <c r="AJ108" s="45">
        <f t="shared" si="0"/>
        <v>-6.7314682678585832E-4</v>
      </c>
      <c r="AK108" s="45">
        <f t="shared" si="0"/>
        <v>-5.3506894494929999E-4</v>
      </c>
      <c r="AL108" s="45">
        <f t="shared" si="0"/>
        <v>-1.0690035946714282E-3</v>
      </c>
      <c r="AM108" s="45">
        <f t="shared" si="0"/>
        <v>-2.2633712402012579E-3</v>
      </c>
      <c r="AN108" s="45">
        <f t="shared" si="0"/>
        <v>-2.7782850285654665E-3</v>
      </c>
      <c r="AO108" s="45">
        <f t="shared" si="0"/>
        <v>-8.4659246532705864E-4</v>
      </c>
      <c r="AP108" s="45">
        <f t="shared" si="0"/>
        <v>-6.0340747752011365E-4</v>
      </c>
      <c r="AQ108" s="45">
        <f t="shared" si="0"/>
        <v>-3.0273901466184939E-3</v>
      </c>
      <c r="AR108" s="45">
        <f t="shared" si="0"/>
        <v>-1.7229913548153072E-3</v>
      </c>
      <c r="AS108" s="45">
        <f t="shared" si="0"/>
        <v>-3.704801422643747E-3</v>
      </c>
      <c r="AT108" s="45">
        <f t="shared" si="0"/>
        <v>0</v>
      </c>
    </row>
    <row r="109" spans="2:46" x14ac:dyDescent="0.3">
      <c r="B109" s="45">
        <f t="shared" ref="B109:AT109" si="1">B58-B7</f>
        <v>-1.3120776749983595E-4</v>
      </c>
      <c r="C109" s="45">
        <f t="shared" si="1"/>
        <v>0.88138385502471173</v>
      </c>
      <c r="D109" s="45">
        <f t="shared" si="1"/>
        <v>0</v>
      </c>
      <c r="E109" s="45">
        <f t="shared" si="1"/>
        <v>0</v>
      </c>
      <c r="F109" s="45">
        <f t="shared" si="1"/>
        <v>0</v>
      </c>
      <c r="G109" s="45">
        <f t="shared" si="1"/>
        <v>-1.8522710901644406E-4</v>
      </c>
      <c r="H109" s="45">
        <f t="shared" si="1"/>
        <v>0</v>
      </c>
      <c r="I109" s="45">
        <f t="shared" si="1"/>
        <v>0</v>
      </c>
      <c r="J109" s="45">
        <f t="shared" si="1"/>
        <v>0</v>
      </c>
      <c r="K109" s="45">
        <f t="shared" si="1"/>
        <v>-1.0396955771350148E-5</v>
      </c>
      <c r="L109" s="45">
        <f t="shared" si="1"/>
        <v>0</v>
      </c>
      <c r="M109" s="45">
        <f t="shared" si="1"/>
        <v>0</v>
      </c>
      <c r="N109" s="45">
        <f t="shared" si="1"/>
        <v>0</v>
      </c>
      <c r="O109" s="45">
        <f t="shared" si="1"/>
        <v>0</v>
      </c>
      <c r="P109" s="45">
        <f t="shared" si="1"/>
        <v>0</v>
      </c>
      <c r="Q109" s="45">
        <f t="shared" si="1"/>
        <v>0</v>
      </c>
      <c r="R109" s="45">
        <f t="shared" si="1"/>
        <v>-4.4019703219160905E-6</v>
      </c>
      <c r="S109" s="45">
        <f t="shared" si="1"/>
        <v>0</v>
      </c>
      <c r="T109" s="45">
        <f t="shared" si="1"/>
        <v>0</v>
      </c>
      <c r="U109" s="45">
        <f t="shared" si="1"/>
        <v>-8.3326042304631669E-6</v>
      </c>
      <c r="V109" s="45">
        <f t="shared" si="1"/>
        <v>0</v>
      </c>
      <c r="W109" s="45">
        <f t="shared" si="1"/>
        <v>0</v>
      </c>
      <c r="X109" s="45">
        <f t="shared" si="1"/>
        <v>-1.043874025282629E-5</v>
      </c>
      <c r="Y109" s="45">
        <f t="shared" si="1"/>
        <v>0</v>
      </c>
      <c r="Z109" s="45">
        <f t="shared" si="1"/>
        <v>-1.1496168901713506E-5</v>
      </c>
      <c r="AA109" s="45">
        <f t="shared" si="1"/>
        <v>-1.2227554794729925E-5</v>
      </c>
      <c r="AB109" s="45">
        <f t="shared" si="1"/>
        <v>0</v>
      </c>
      <c r="AC109" s="45">
        <f t="shared" si="1"/>
        <v>0</v>
      </c>
      <c r="AD109" s="45">
        <f t="shared" si="1"/>
        <v>0</v>
      </c>
      <c r="AE109" s="45">
        <f t="shared" si="1"/>
        <v>-2.0282330034074319E-5</v>
      </c>
      <c r="AF109" s="45">
        <f t="shared" si="1"/>
        <v>0</v>
      </c>
      <c r="AG109" s="45">
        <f t="shared" si="1"/>
        <v>-1.968870147587746E-3</v>
      </c>
      <c r="AH109" s="45">
        <f t="shared" si="1"/>
        <v>0</v>
      </c>
      <c r="AI109" s="45">
        <f t="shared" si="1"/>
        <v>0</v>
      </c>
      <c r="AJ109" s="45">
        <f t="shared" si="1"/>
        <v>0</v>
      </c>
      <c r="AK109" s="45">
        <f t="shared" si="1"/>
        <v>0</v>
      </c>
      <c r="AL109" s="45">
        <f t="shared" si="1"/>
        <v>-5.8736461245682871E-6</v>
      </c>
      <c r="AM109" s="45">
        <f t="shared" si="1"/>
        <v>-7.8863109414677985E-6</v>
      </c>
      <c r="AN109" s="45">
        <f t="shared" si="1"/>
        <v>-1.3043591683405945E-5</v>
      </c>
      <c r="AO109" s="45">
        <f t="shared" si="1"/>
        <v>0</v>
      </c>
      <c r="AP109" s="45">
        <f t="shared" si="1"/>
        <v>0</v>
      </c>
      <c r="AQ109" s="45">
        <f t="shared" si="1"/>
        <v>-1.1048869148242679E-5</v>
      </c>
      <c r="AR109" s="45">
        <f t="shared" si="1"/>
        <v>-1.2091167402212683E-4</v>
      </c>
      <c r="AS109" s="45">
        <f t="shared" si="1"/>
        <v>-2.4698676150958316E-5</v>
      </c>
      <c r="AT109" s="45">
        <f t="shared" si="1"/>
        <v>0</v>
      </c>
    </row>
    <row r="110" spans="2:46" x14ac:dyDescent="0.3">
      <c r="B110" s="45">
        <f t="shared" ref="B110:AT110" si="2">B59-B8</f>
        <v>-2.8501242829131034E-3</v>
      </c>
      <c r="C110" s="45">
        <f t="shared" si="2"/>
        <v>-1.6474464579901158E-3</v>
      </c>
      <c r="D110" s="45">
        <f t="shared" si="2"/>
        <v>0.93990573448546788</v>
      </c>
      <c r="E110" s="45">
        <f t="shared" si="2"/>
        <v>-2.9300328365748918E-2</v>
      </c>
      <c r="F110" s="45">
        <f t="shared" si="2"/>
        <v>-3.2362459546925568E-3</v>
      </c>
      <c r="G110" s="45">
        <f t="shared" si="2"/>
        <v>-3.5330355979062474E-3</v>
      </c>
      <c r="H110" s="45">
        <f t="shared" si="2"/>
        <v>-9.8637015781922522E-4</v>
      </c>
      <c r="I110" s="45">
        <f t="shared" si="2"/>
        <v>-1.3921113689095129E-3</v>
      </c>
      <c r="J110" s="45">
        <f t="shared" si="2"/>
        <v>-3.1651963095157922E-3</v>
      </c>
      <c r="K110" s="45">
        <f t="shared" si="2"/>
        <v>-0.23049011249506143</v>
      </c>
      <c r="L110" s="45">
        <f t="shared" si="2"/>
        <v>-2.4242424242424235E-2</v>
      </c>
      <c r="M110" s="45">
        <f t="shared" si="2"/>
        <v>-3.0943931866572036E-3</v>
      </c>
      <c r="N110" s="45">
        <f t="shared" si="2"/>
        <v>-5.3421860988686002E-4</v>
      </c>
      <c r="O110" s="45">
        <f t="shared" si="2"/>
        <v>-1.4469838531934266E-2</v>
      </c>
      <c r="P110" s="45">
        <f t="shared" si="2"/>
        <v>-3.544149739801912E-2</v>
      </c>
      <c r="Q110" s="45">
        <f t="shared" si="2"/>
        <v>-7.8723369360208595E-4</v>
      </c>
      <c r="R110" s="45">
        <f t="shared" si="2"/>
        <v>-2.2890245673963668E-4</v>
      </c>
      <c r="S110" s="45">
        <f t="shared" si="2"/>
        <v>-4.2607065468799464E-4</v>
      </c>
      <c r="T110" s="45">
        <f t="shared" si="2"/>
        <v>-6.8014358586812801E-4</v>
      </c>
      <c r="U110" s="45">
        <f t="shared" si="2"/>
        <v>-5.3745297286487417E-4</v>
      </c>
      <c r="V110" s="45">
        <f t="shared" si="2"/>
        <v>-3.2695567934124493E-3</v>
      </c>
      <c r="W110" s="45">
        <f t="shared" si="2"/>
        <v>-3.9799863543324996E-4</v>
      </c>
      <c r="X110" s="45">
        <f t="shared" si="2"/>
        <v>-0.10877167343444995</v>
      </c>
      <c r="Y110" s="45">
        <f t="shared" si="2"/>
        <v>-3.7483970670436984E-3</v>
      </c>
      <c r="Z110" s="45">
        <f t="shared" si="2"/>
        <v>-2.5464014117295413E-3</v>
      </c>
      <c r="AA110" s="45">
        <f t="shared" si="2"/>
        <v>-2.2009598630513862E-3</v>
      </c>
      <c r="AB110" s="45">
        <f t="shared" si="2"/>
        <v>-5.1958952427582205E-3</v>
      </c>
      <c r="AC110" s="45">
        <f t="shared" si="2"/>
        <v>-1.5533980582524266E-3</v>
      </c>
      <c r="AD110" s="45">
        <f t="shared" si="2"/>
        <v>-1.3957816377171215E-3</v>
      </c>
      <c r="AE110" s="45">
        <f t="shared" si="2"/>
        <v>-8.9039428849586252E-3</v>
      </c>
      <c r="AF110" s="45">
        <f t="shared" si="2"/>
        <v>-1.9806882891804903E-3</v>
      </c>
      <c r="AG110" s="45">
        <f t="shared" si="2"/>
        <v>-5.1779734590102931E-3</v>
      </c>
      <c r="AH110" s="45">
        <f t="shared" si="2"/>
        <v>-7.0915950415567468E-4</v>
      </c>
      <c r="AI110" s="45">
        <f t="shared" si="2"/>
        <v>-9.1994592970862153E-4</v>
      </c>
      <c r="AJ110" s="45">
        <f t="shared" si="2"/>
        <v>-4.0388809607151503E-4</v>
      </c>
      <c r="AK110" s="45">
        <f t="shared" si="2"/>
        <v>-5.7892705519104587E-4</v>
      </c>
      <c r="AL110" s="45">
        <f t="shared" si="2"/>
        <v>-1.4096750698963888E-3</v>
      </c>
      <c r="AM110" s="45">
        <f t="shared" si="2"/>
        <v>-2.9100487374016173E-3</v>
      </c>
      <c r="AN110" s="45">
        <f t="shared" si="2"/>
        <v>-1.9956695275611096E-3</v>
      </c>
      <c r="AO110" s="45">
        <f t="shared" si="2"/>
        <v>-3.1622718557804833E-3</v>
      </c>
      <c r="AP110" s="45">
        <f t="shared" si="2"/>
        <v>-5.9985802176999543E-3</v>
      </c>
      <c r="AQ110" s="45">
        <f t="shared" si="2"/>
        <v>-6.9607875633928874E-3</v>
      </c>
      <c r="AR110" s="45">
        <f t="shared" si="2"/>
        <v>-8.8567801221207908E-3</v>
      </c>
      <c r="AS110" s="45">
        <f t="shared" si="2"/>
        <v>-2.2475795297372063E-3</v>
      </c>
      <c r="AT110" s="45">
        <f t="shared" si="2"/>
        <v>0</v>
      </c>
    </row>
    <row r="111" spans="2:46" x14ac:dyDescent="0.3">
      <c r="B111" s="45">
        <f t="shared" ref="B111:AT111" si="3">B60-B9</f>
        <v>-1.5307572874980861E-3</v>
      </c>
      <c r="C111" s="45">
        <f t="shared" si="3"/>
        <v>0</v>
      </c>
      <c r="D111" s="45">
        <f t="shared" si="3"/>
        <v>-0.10644147682639343</v>
      </c>
      <c r="E111" s="45">
        <f t="shared" si="3"/>
        <v>0.95630209648901243</v>
      </c>
      <c r="F111" s="45">
        <f t="shared" si="3"/>
        <v>-4.2610571736785334E-2</v>
      </c>
      <c r="G111" s="45">
        <f t="shared" si="3"/>
        <v>-3.5193150713124367E-3</v>
      </c>
      <c r="H111" s="45">
        <f t="shared" si="3"/>
        <v>-5.3802008608321375E-4</v>
      </c>
      <c r="I111" s="45">
        <f t="shared" si="3"/>
        <v>-1.0606562810739145E-3</v>
      </c>
      <c r="J111" s="45">
        <f t="shared" si="3"/>
        <v>-1.6836150582530808E-3</v>
      </c>
      <c r="K111" s="45">
        <f t="shared" si="3"/>
        <v>-1.0396955771350147E-4</v>
      </c>
      <c r="L111" s="45">
        <f t="shared" si="3"/>
        <v>-2.6366382861851131E-3</v>
      </c>
      <c r="M111" s="45">
        <f t="shared" si="3"/>
        <v>-4.826117814052519E-4</v>
      </c>
      <c r="N111" s="45">
        <f t="shared" si="3"/>
        <v>-1.6026558296605802E-3</v>
      </c>
      <c r="O111" s="45">
        <f t="shared" si="3"/>
        <v>-3.2748790187341295E-2</v>
      </c>
      <c r="P111" s="45">
        <f t="shared" si="3"/>
        <v>-6.5469195903978478E-3</v>
      </c>
      <c r="Q111" s="45">
        <f t="shared" si="3"/>
        <v>-3.4113460056090397E-3</v>
      </c>
      <c r="R111" s="45">
        <f t="shared" si="3"/>
        <v>-2.729221599587976E-4</v>
      </c>
      <c r="S111" s="45">
        <f t="shared" si="3"/>
        <v>-1.2660385167871842E-3</v>
      </c>
      <c r="T111" s="45">
        <f t="shared" si="3"/>
        <v>-1.4925373134328365E-3</v>
      </c>
      <c r="U111" s="45">
        <f t="shared" si="3"/>
        <v>-6.8743984901321116E-4</v>
      </c>
      <c r="V111" s="45">
        <f t="shared" si="3"/>
        <v>-6.0547348026156471E-4</v>
      </c>
      <c r="W111" s="45">
        <f t="shared" si="3"/>
        <v>-1.0234250625426428E-3</v>
      </c>
      <c r="X111" s="45">
        <f t="shared" si="3"/>
        <v>-2.1921354530935209E-4</v>
      </c>
      <c r="Y111" s="45">
        <f t="shared" si="3"/>
        <v>-1.8413178574951498E-3</v>
      </c>
      <c r="Z111" s="45">
        <f t="shared" si="3"/>
        <v>-8.1622799202165884E-3</v>
      </c>
      <c r="AA111" s="45">
        <f t="shared" si="3"/>
        <v>-1.0271146027573137E-3</v>
      </c>
      <c r="AB111" s="45">
        <f t="shared" si="3"/>
        <v>-1.2989738106895552E-4</v>
      </c>
      <c r="AC111" s="45">
        <f t="shared" si="3"/>
        <v>-7.7669902912621332E-4</v>
      </c>
      <c r="AD111" s="45">
        <f t="shared" si="3"/>
        <v>0</v>
      </c>
      <c r="AE111" s="45">
        <f t="shared" si="3"/>
        <v>-3.85364270647412E-4</v>
      </c>
      <c r="AF111" s="45">
        <f t="shared" si="3"/>
        <v>0</v>
      </c>
      <c r="AG111" s="45">
        <f t="shared" si="3"/>
        <v>-6.2011658191740043E-5</v>
      </c>
      <c r="AH111" s="45">
        <f t="shared" si="3"/>
        <v>-1.1346552066490796E-4</v>
      </c>
      <c r="AI111" s="45">
        <f t="shared" si="3"/>
        <v>-3.7548813457494757E-5</v>
      </c>
      <c r="AJ111" s="45">
        <f t="shared" si="3"/>
        <v>-3.5003634992864636E-4</v>
      </c>
      <c r="AK111" s="45">
        <f t="shared" si="3"/>
        <v>-1.7543244096698364E-5</v>
      </c>
      <c r="AL111" s="45">
        <f t="shared" si="3"/>
        <v>-3.0484223386509409E-3</v>
      </c>
      <c r="AM111" s="45">
        <f t="shared" si="3"/>
        <v>-7.491995394394408E-4</v>
      </c>
      <c r="AN111" s="45">
        <f t="shared" si="3"/>
        <v>-3.3913338376855457E-4</v>
      </c>
      <c r="AO111" s="45">
        <f t="shared" si="3"/>
        <v>-1.2449889195986156E-4</v>
      </c>
      <c r="AP111" s="45">
        <f t="shared" si="3"/>
        <v>-2.3663038334122106E-4</v>
      </c>
      <c r="AQ111" s="45">
        <f t="shared" si="3"/>
        <v>-5.7454119570861926E-4</v>
      </c>
      <c r="AR111" s="45">
        <f t="shared" si="3"/>
        <v>-6.3478628861616583E-4</v>
      </c>
      <c r="AS111" s="45">
        <f t="shared" si="3"/>
        <v>-1.4078245406046238E-3</v>
      </c>
      <c r="AT111" s="45">
        <f t="shared" si="3"/>
        <v>0</v>
      </c>
    </row>
    <row r="112" spans="2:46" x14ac:dyDescent="0.3">
      <c r="B112" s="45">
        <f t="shared" ref="B112:AT112" si="4">B61-B10</f>
        <v>-2.9157281666630211E-5</v>
      </c>
      <c r="C112" s="45">
        <f t="shared" si="4"/>
        <v>0</v>
      </c>
      <c r="D112" s="45">
        <f t="shared" si="4"/>
        <v>-0.14925373134328229</v>
      </c>
      <c r="E112" s="45">
        <f t="shared" si="4"/>
        <v>-1.5155342258145992E-3</v>
      </c>
      <c r="F112" s="45">
        <f t="shared" si="4"/>
        <v>0.95037756202804746</v>
      </c>
      <c r="G112" s="45">
        <f t="shared" si="4"/>
        <v>-3.4301316484526671E-5</v>
      </c>
      <c r="H112" s="45">
        <f t="shared" si="4"/>
        <v>0</v>
      </c>
      <c r="I112" s="45">
        <f t="shared" si="4"/>
        <v>-1.3258203513423931E-4</v>
      </c>
      <c r="J112" s="45">
        <f t="shared" si="4"/>
        <v>-3.3672301165061618E-5</v>
      </c>
      <c r="K112" s="45">
        <f t="shared" si="4"/>
        <v>-4.876172256763219E-3</v>
      </c>
      <c r="L112" s="45">
        <f t="shared" si="4"/>
        <v>-1.8309988098507731E-4</v>
      </c>
      <c r="M112" s="45">
        <f t="shared" si="4"/>
        <v>-2.8388928317955994E-5</v>
      </c>
      <c r="N112" s="45">
        <f t="shared" si="4"/>
        <v>-1.3355465247171501E-4</v>
      </c>
      <c r="O112" s="45">
        <f t="shared" si="4"/>
        <v>-1.1978343155574723E-4</v>
      </c>
      <c r="P112" s="45">
        <f t="shared" si="4"/>
        <v>-6.0852778244082566E-4</v>
      </c>
      <c r="Q112" s="45">
        <f t="shared" si="4"/>
        <v>-1.640070195004346E-5</v>
      </c>
      <c r="R112" s="45">
        <f t="shared" si="4"/>
        <v>-2.2009851609580451E-5</v>
      </c>
      <c r="S112" s="45">
        <f t="shared" si="4"/>
        <v>-2.4346894553599693E-5</v>
      </c>
      <c r="T112" s="45">
        <f t="shared" si="4"/>
        <v>-7.5571509540903108E-5</v>
      </c>
      <c r="U112" s="45">
        <f t="shared" si="4"/>
        <v>-7.4993438074168499E-5</v>
      </c>
      <c r="V112" s="45">
        <f t="shared" si="4"/>
        <v>-1.2109469605231294E-4</v>
      </c>
      <c r="W112" s="45">
        <f t="shared" si="4"/>
        <v>-1.4214236979758927E-4</v>
      </c>
      <c r="X112" s="45">
        <f t="shared" si="4"/>
        <v>-8.3509922022610326E-4</v>
      </c>
      <c r="Y112" s="45">
        <f t="shared" si="4"/>
        <v>-6.5761352053398216E-5</v>
      </c>
      <c r="Z112" s="45">
        <f t="shared" si="4"/>
        <v>-3.506331515022619E-4</v>
      </c>
      <c r="AA112" s="45">
        <f t="shared" si="4"/>
        <v>-3.6682664384189773E-5</v>
      </c>
      <c r="AB112" s="45">
        <f t="shared" si="4"/>
        <v>-4.9960531180367503E-5</v>
      </c>
      <c r="AC112" s="45">
        <f t="shared" si="4"/>
        <v>0</v>
      </c>
      <c r="AD112" s="45">
        <f t="shared" si="4"/>
        <v>0</v>
      </c>
      <c r="AE112" s="45">
        <f t="shared" si="4"/>
        <v>-8.1129320136297275E-5</v>
      </c>
      <c r="AF112" s="45">
        <f t="shared" si="4"/>
        <v>0</v>
      </c>
      <c r="AG112" s="45">
        <f t="shared" si="4"/>
        <v>-4.6508743643805032E-5</v>
      </c>
      <c r="AH112" s="45">
        <f t="shared" si="4"/>
        <v>-2.8366380166226989E-5</v>
      </c>
      <c r="AI112" s="45">
        <f t="shared" si="4"/>
        <v>-1.8774406728747379E-5</v>
      </c>
      <c r="AJ112" s="45">
        <f t="shared" si="4"/>
        <v>-2.6925873071434336E-5</v>
      </c>
      <c r="AK112" s="45">
        <f t="shared" si="4"/>
        <v>-1.7543244096698364E-5</v>
      </c>
      <c r="AL112" s="45">
        <f t="shared" si="4"/>
        <v>-2.9368230622841432E-5</v>
      </c>
      <c r="AM112" s="45">
        <f t="shared" si="4"/>
        <v>-6.3090487531742388E-5</v>
      </c>
      <c r="AN112" s="45">
        <f t="shared" si="4"/>
        <v>-3.9130775050217832E-5</v>
      </c>
      <c r="AO112" s="45">
        <f t="shared" si="4"/>
        <v>-2.4899778391972314E-5</v>
      </c>
      <c r="AP112" s="45">
        <f t="shared" si="4"/>
        <v>-3.549455750118316E-5</v>
      </c>
      <c r="AQ112" s="45">
        <f t="shared" si="4"/>
        <v>-7.7342084037698749E-5</v>
      </c>
      <c r="AR112" s="45">
        <f t="shared" si="4"/>
        <v>-9.0683755516595113E-5</v>
      </c>
      <c r="AS112" s="45">
        <f t="shared" si="4"/>
        <v>-2.4698676150958316E-5</v>
      </c>
      <c r="AT112" s="45">
        <f t="shared" si="4"/>
        <v>0</v>
      </c>
    </row>
    <row r="113" spans="2:46" x14ac:dyDescent="0.3">
      <c r="B113" s="45">
        <f t="shared" ref="B113:AT113" si="5">B62-B11</f>
        <v>-6.9583852697413004E-2</v>
      </c>
      <c r="C113" s="45">
        <f t="shared" si="5"/>
        <v>-4.7775947281713353E-2</v>
      </c>
      <c r="D113" s="45">
        <f t="shared" si="5"/>
        <v>-3.9277297721916392E-3</v>
      </c>
      <c r="E113" s="45">
        <f t="shared" si="5"/>
        <v>-7.5776711290729962E-4</v>
      </c>
      <c r="F113" s="45">
        <f t="shared" si="5"/>
        <v>-5.3937432578209283E-4</v>
      </c>
      <c r="G113" s="45">
        <f t="shared" si="5"/>
        <v>0.90576056309041142</v>
      </c>
      <c r="H113" s="45">
        <f t="shared" si="5"/>
        <v>-2.2417503586800573E-3</v>
      </c>
      <c r="I113" s="45">
        <f t="shared" si="5"/>
        <v>-1.4584023864766325E-3</v>
      </c>
      <c r="J113" s="45">
        <f t="shared" si="5"/>
        <v>-5.8253081015556601E-3</v>
      </c>
      <c r="K113" s="45">
        <f t="shared" si="5"/>
        <v>-4.5122788047659637E-3</v>
      </c>
      <c r="L113" s="45">
        <f t="shared" si="5"/>
        <v>-4.7972168818090251E-3</v>
      </c>
      <c r="M113" s="45">
        <f t="shared" si="5"/>
        <v>-4.9112845990063872E-3</v>
      </c>
      <c r="N113" s="45">
        <f t="shared" si="5"/>
        <v>-2.9572815904451181E-3</v>
      </c>
      <c r="O113" s="45">
        <f t="shared" si="5"/>
        <v>-1.3655311197355185E-3</v>
      </c>
      <c r="P113" s="45">
        <f t="shared" si="5"/>
        <v>-9.8623468188685547E-4</v>
      </c>
      <c r="Q113" s="45">
        <f t="shared" si="5"/>
        <v>-1.0332442228527378E-3</v>
      </c>
      <c r="R113" s="45">
        <f t="shared" si="5"/>
        <v>-7.7034480633531575E-4</v>
      </c>
      <c r="S113" s="45">
        <f t="shared" si="5"/>
        <v>-1.2416916222335842E-3</v>
      </c>
      <c r="T113" s="45">
        <f t="shared" si="5"/>
        <v>-9.0685811449083724E-4</v>
      </c>
      <c r="U113" s="45">
        <f t="shared" si="5"/>
        <v>-7.5826698497214807E-4</v>
      </c>
      <c r="V113" s="45">
        <f t="shared" si="5"/>
        <v>-8.4766287236619046E-4</v>
      </c>
      <c r="W113" s="45">
        <f t="shared" si="5"/>
        <v>-1.5635660677734821E-3</v>
      </c>
      <c r="X113" s="45">
        <f t="shared" si="5"/>
        <v>-2.7453886864933145E-3</v>
      </c>
      <c r="Y113" s="45">
        <f t="shared" si="5"/>
        <v>-1.0193009568276723E-3</v>
      </c>
      <c r="Z113" s="45">
        <f t="shared" si="5"/>
        <v>-9.3118968103879385E-4</v>
      </c>
      <c r="AA113" s="45">
        <f t="shared" si="5"/>
        <v>-6.9085684590224072E-3</v>
      </c>
      <c r="AB113" s="45">
        <f t="shared" si="5"/>
        <v>-6.6947111781692455E-4</v>
      </c>
      <c r="AC113" s="45">
        <f t="shared" si="5"/>
        <v>-8.9320388349514515E-3</v>
      </c>
      <c r="AD113" s="45">
        <f t="shared" si="5"/>
        <v>-3.7996277915632753E-3</v>
      </c>
      <c r="AE113" s="45">
        <f t="shared" si="5"/>
        <v>-4.0564660068148633E-4</v>
      </c>
      <c r="AF113" s="45">
        <f t="shared" si="5"/>
        <v>-4.9517207229512257E-4</v>
      </c>
      <c r="AG113" s="45">
        <f t="shared" si="5"/>
        <v>-0.2015999007813469</v>
      </c>
      <c r="AH113" s="45">
        <f t="shared" si="5"/>
        <v>-6.240603636569938E-4</v>
      </c>
      <c r="AI113" s="45">
        <f t="shared" si="5"/>
        <v>-3.3793932111745277E-4</v>
      </c>
      <c r="AJ113" s="45">
        <f t="shared" si="5"/>
        <v>-4.5773984221438366E-4</v>
      </c>
      <c r="AK113" s="45">
        <f t="shared" si="5"/>
        <v>-4.298094803691099E-4</v>
      </c>
      <c r="AL113" s="45">
        <f t="shared" si="5"/>
        <v>-1.0572563024222915E-3</v>
      </c>
      <c r="AM113" s="45">
        <f t="shared" si="5"/>
        <v>-2.0662134666645628E-3</v>
      </c>
      <c r="AN113" s="45">
        <f t="shared" si="5"/>
        <v>-6.430490699919131E-3</v>
      </c>
      <c r="AO113" s="45">
        <f t="shared" si="5"/>
        <v>-1.8986081023878887E-3</v>
      </c>
      <c r="AP113" s="45">
        <f t="shared" si="5"/>
        <v>-6.7439659252248004E-4</v>
      </c>
      <c r="AQ113" s="45">
        <f t="shared" si="5"/>
        <v>-1.4573458406532094E-2</v>
      </c>
      <c r="AR113" s="45">
        <f t="shared" si="5"/>
        <v>-3.5064385466416778E-3</v>
      </c>
      <c r="AS113" s="45">
        <f t="shared" si="5"/>
        <v>-3.4825133372851222E-3</v>
      </c>
      <c r="AT113" s="45">
        <f t="shared" si="5"/>
        <v>0</v>
      </c>
    </row>
    <row r="114" spans="2:46" x14ac:dyDescent="0.3">
      <c r="B114" s="45">
        <f t="shared" ref="B114:AT114" si="6">B63-B12</f>
        <v>-4.6651650666608337E-4</v>
      </c>
      <c r="C114" s="45">
        <f t="shared" si="6"/>
        <v>-1.6474464579901158E-3</v>
      </c>
      <c r="D114" s="45">
        <f t="shared" si="6"/>
        <v>-7.8554595443832797E-4</v>
      </c>
      <c r="E114" s="45">
        <f t="shared" si="6"/>
        <v>-7.5776711290729962E-4</v>
      </c>
      <c r="F114" s="45">
        <f t="shared" si="6"/>
        <v>-5.3937432578209283E-4</v>
      </c>
      <c r="G114" s="45">
        <f t="shared" si="6"/>
        <v>-8.5753291211316683E-4</v>
      </c>
      <c r="H114" s="45">
        <f t="shared" si="6"/>
        <v>0.78985832137733147</v>
      </c>
      <c r="I114" s="45">
        <f t="shared" si="6"/>
        <v>-1.1269472986410341E-3</v>
      </c>
      <c r="J114" s="45">
        <f t="shared" si="6"/>
        <v>-2.8958179001952991E-3</v>
      </c>
      <c r="K114" s="45">
        <f t="shared" si="6"/>
        <v>-2.2873302696970328E-4</v>
      </c>
      <c r="L114" s="45">
        <f t="shared" si="6"/>
        <v>-8.4225945253135553E-4</v>
      </c>
      <c r="M114" s="45">
        <f t="shared" si="6"/>
        <v>-9.9361249112845979E-4</v>
      </c>
      <c r="N114" s="45">
        <f t="shared" si="6"/>
        <v>-9.5586972697613171E-3</v>
      </c>
      <c r="O114" s="45">
        <f t="shared" si="6"/>
        <v>-1.4134444923578175E-3</v>
      </c>
      <c r="P114" s="45">
        <f t="shared" si="6"/>
        <v>-7.1344636562027837E-4</v>
      </c>
      <c r="Q114" s="45">
        <f t="shared" si="6"/>
        <v>-7.216308858019123E-4</v>
      </c>
      <c r="R114" s="45">
        <f t="shared" si="6"/>
        <v>-9.1560982695854673E-4</v>
      </c>
      <c r="S114" s="45">
        <f t="shared" si="6"/>
        <v>-1.6190684878143796E-3</v>
      </c>
      <c r="T114" s="45">
        <f t="shared" si="6"/>
        <v>-2.1160022671452869E-3</v>
      </c>
      <c r="U114" s="45">
        <f t="shared" si="6"/>
        <v>-4.887072381166647E-3</v>
      </c>
      <c r="V114" s="45">
        <f t="shared" si="6"/>
        <v>-9.6875756841850356E-4</v>
      </c>
      <c r="W114" s="45">
        <f t="shared" si="6"/>
        <v>-2.055378667273141E-2</v>
      </c>
      <c r="X114" s="45">
        <f t="shared" si="6"/>
        <v>-3.8623338935457277E-4</v>
      </c>
      <c r="Y114" s="45">
        <f t="shared" si="6"/>
        <v>-1.3152270410679643E-3</v>
      </c>
      <c r="Z114" s="45">
        <f t="shared" si="6"/>
        <v>-1.0404032856050722E-3</v>
      </c>
      <c r="AA114" s="45">
        <f t="shared" si="6"/>
        <v>-1.2380399229664047E-3</v>
      </c>
      <c r="AB114" s="45">
        <f t="shared" si="6"/>
        <v>-4.3965267438723406E-4</v>
      </c>
      <c r="AC114" s="45">
        <f t="shared" si="6"/>
        <v>-7.7669902912621332E-4</v>
      </c>
      <c r="AD114" s="45">
        <f t="shared" si="6"/>
        <v>-4.6526054590570714E-4</v>
      </c>
      <c r="AE114" s="45">
        <f t="shared" si="6"/>
        <v>-4.8677592081778357E-4</v>
      </c>
      <c r="AF114" s="45">
        <f t="shared" si="6"/>
        <v>-1.072872823306099E-3</v>
      </c>
      <c r="AG114" s="45">
        <f t="shared" si="6"/>
        <v>-1.2247302492868659E-3</v>
      </c>
      <c r="AH114" s="45">
        <f t="shared" si="6"/>
        <v>-3.4039656199472384E-4</v>
      </c>
      <c r="AI114" s="45">
        <f t="shared" si="6"/>
        <v>-3.5671372784620012E-4</v>
      </c>
      <c r="AJ114" s="45">
        <f t="shared" si="6"/>
        <v>-3.7696222300008064E-4</v>
      </c>
      <c r="AK114" s="45">
        <f t="shared" si="6"/>
        <v>-2.1051892916038034E-4</v>
      </c>
      <c r="AL114" s="45">
        <f t="shared" si="6"/>
        <v>-3.1717689072668752E-4</v>
      </c>
      <c r="AM114" s="45">
        <f t="shared" si="6"/>
        <v>-4.5740603460513223E-4</v>
      </c>
      <c r="AN114" s="45">
        <f t="shared" si="6"/>
        <v>-1.2652283932903766E-3</v>
      </c>
      <c r="AO114" s="45">
        <f t="shared" si="6"/>
        <v>-6.1626951520131479E-4</v>
      </c>
      <c r="AP114" s="45">
        <f t="shared" si="6"/>
        <v>-2.721249408424042E-4</v>
      </c>
      <c r="AQ114" s="45">
        <f t="shared" si="6"/>
        <v>-2.088236269017866E-3</v>
      </c>
      <c r="AR114" s="45">
        <f t="shared" si="6"/>
        <v>-1.9950426213650924E-3</v>
      </c>
      <c r="AS114" s="45">
        <f t="shared" si="6"/>
        <v>-5.606599486267537E-3</v>
      </c>
      <c r="AT114" s="45">
        <f t="shared" si="6"/>
        <v>0</v>
      </c>
    </row>
    <row r="115" spans="2:46" x14ac:dyDescent="0.3">
      <c r="B115" s="45">
        <f t="shared" ref="B115:AT115" si="7">B64-B13</f>
        <v>-2.1503495229139779E-3</v>
      </c>
      <c r="C115" s="45">
        <f t="shared" si="7"/>
        <v>-1.6474464579901158E-3</v>
      </c>
      <c r="D115" s="45">
        <f t="shared" si="7"/>
        <v>-3.9277297721916399E-4</v>
      </c>
      <c r="E115" s="45">
        <f t="shared" si="7"/>
        <v>-5.0517807527153315E-4</v>
      </c>
      <c r="F115" s="45">
        <f t="shared" si="7"/>
        <v>0</v>
      </c>
      <c r="G115" s="45">
        <f t="shared" si="7"/>
        <v>-1.8728518800551564E-3</v>
      </c>
      <c r="H115" s="45">
        <f t="shared" si="7"/>
        <v>-2.5555954088952652E-3</v>
      </c>
      <c r="I115" s="45">
        <f t="shared" si="7"/>
        <v>0.79284057010275111</v>
      </c>
      <c r="J115" s="45">
        <f t="shared" si="7"/>
        <v>-2.3570610815543134E-3</v>
      </c>
      <c r="K115" s="45">
        <f t="shared" si="7"/>
        <v>-2.2873302696970328E-4</v>
      </c>
      <c r="L115" s="45">
        <f t="shared" si="7"/>
        <v>-2.9295980957612369E-3</v>
      </c>
      <c r="M115" s="45">
        <f t="shared" si="7"/>
        <v>-4.542228530872959E-4</v>
      </c>
      <c r="N115" s="45">
        <f t="shared" si="7"/>
        <v>-3.47242096426459E-3</v>
      </c>
      <c r="O115" s="45">
        <f t="shared" si="7"/>
        <v>-8.0015332279239158E-3</v>
      </c>
      <c r="P115" s="45">
        <f t="shared" si="7"/>
        <v>-2.1193553802249443E-3</v>
      </c>
      <c r="Q115" s="45">
        <f t="shared" si="7"/>
        <v>-4.9202105850130375E-3</v>
      </c>
      <c r="R115" s="45">
        <f t="shared" si="7"/>
        <v>-1.0168551443626168E-3</v>
      </c>
      <c r="S115" s="45">
        <f t="shared" si="7"/>
        <v>-2.8485866627711641E-3</v>
      </c>
      <c r="T115" s="45">
        <f t="shared" si="7"/>
        <v>-2.985074626865673E-3</v>
      </c>
      <c r="U115" s="45">
        <f t="shared" si="7"/>
        <v>-1.9206652751217598E-3</v>
      </c>
      <c r="V115" s="45">
        <f t="shared" si="7"/>
        <v>-3.2695567934124493E-3</v>
      </c>
      <c r="W115" s="45">
        <f t="shared" si="7"/>
        <v>-5.0432112804184678E-2</v>
      </c>
      <c r="X115" s="45">
        <f t="shared" si="7"/>
        <v>-2.3069615958746102E-3</v>
      </c>
      <c r="Y115" s="45">
        <f t="shared" si="7"/>
        <v>-9.2065892874757492E-4</v>
      </c>
      <c r="Z115" s="45">
        <f t="shared" si="7"/>
        <v>-2.1083973765742569E-2</v>
      </c>
      <c r="AA115" s="45">
        <f t="shared" si="7"/>
        <v>-2.5708433955919665E-3</v>
      </c>
      <c r="AB115" s="45">
        <f t="shared" si="7"/>
        <v>-1.139100110912379E-3</v>
      </c>
      <c r="AC115" s="45">
        <f t="shared" si="7"/>
        <v>-1.941747572815533E-3</v>
      </c>
      <c r="AD115" s="45">
        <f t="shared" si="7"/>
        <v>-4.6526054590570714E-4</v>
      </c>
      <c r="AE115" s="45">
        <f t="shared" si="7"/>
        <v>-4.4621126074963501E-4</v>
      </c>
      <c r="AF115" s="45">
        <f t="shared" si="7"/>
        <v>-2.4758603614756129E-4</v>
      </c>
      <c r="AG115" s="45">
        <f t="shared" si="7"/>
        <v>-9.3017487287610058E-4</v>
      </c>
      <c r="AH115" s="45">
        <f t="shared" si="7"/>
        <v>-2.2693104132981591E-4</v>
      </c>
      <c r="AI115" s="45">
        <f t="shared" si="7"/>
        <v>-5.2568338840492648E-4</v>
      </c>
      <c r="AJ115" s="45">
        <f t="shared" si="7"/>
        <v>-1.0770349228573734E-4</v>
      </c>
      <c r="AK115" s="45">
        <f t="shared" si="7"/>
        <v>-1.0525946458019017E-4</v>
      </c>
      <c r="AL115" s="45">
        <f t="shared" si="7"/>
        <v>-4.2525197941874395E-3</v>
      </c>
      <c r="AM115" s="45">
        <f t="shared" si="7"/>
        <v>-1.6482389867667696E-3</v>
      </c>
      <c r="AN115" s="45">
        <f t="shared" si="7"/>
        <v>-1.3434899433908125E-3</v>
      </c>
      <c r="AO115" s="45">
        <f t="shared" si="7"/>
        <v>-2.0542317173377156E-4</v>
      </c>
      <c r="AP115" s="45">
        <f t="shared" si="7"/>
        <v>-8.2820634169427363E-5</v>
      </c>
      <c r="AQ115" s="45">
        <f t="shared" si="7"/>
        <v>-3.7566155104025109E-4</v>
      </c>
      <c r="AR115" s="45">
        <f t="shared" si="7"/>
        <v>-4.8364669608850732E-4</v>
      </c>
      <c r="AS115" s="45">
        <f t="shared" si="7"/>
        <v>-1.4819205690574989E-3</v>
      </c>
      <c r="AT115" s="45">
        <f t="shared" si="7"/>
        <v>0</v>
      </c>
    </row>
    <row r="116" spans="2:46" x14ac:dyDescent="0.3">
      <c r="B116" s="45">
        <f t="shared" ref="B116:AT116" si="8">B65-B14</f>
        <v>-2.1722174841639508E-3</v>
      </c>
      <c r="C116" s="45">
        <f t="shared" si="8"/>
        <v>-1.6474464579901158E-3</v>
      </c>
      <c r="D116" s="45">
        <f t="shared" si="8"/>
        <v>-3.9277297721916399E-4</v>
      </c>
      <c r="E116" s="45">
        <f t="shared" si="8"/>
        <v>-1.2629451881788327E-3</v>
      </c>
      <c r="F116" s="45">
        <f t="shared" si="8"/>
        <v>0</v>
      </c>
      <c r="G116" s="45">
        <f t="shared" si="8"/>
        <v>-2.1369720169860117E-2</v>
      </c>
      <c r="H116" s="45">
        <f t="shared" si="8"/>
        <v>-6.0527259684361543E-3</v>
      </c>
      <c r="I116" s="45">
        <f t="shared" si="8"/>
        <v>-1.9887305270135897E-2</v>
      </c>
      <c r="J116" s="45">
        <f t="shared" si="8"/>
        <v>0.68334567984376049</v>
      </c>
      <c r="K116" s="45">
        <f t="shared" si="8"/>
        <v>-3.846873635399555E-4</v>
      </c>
      <c r="L116" s="45">
        <f t="shared" si="8"/>
        <v>-8.9352741920717717E-3</v>
      </c>
      <c r="M116" s="45">
        <f t="shared" si="8"/>
        <v>-7.2959545777146898E-3</v>
      </c>
      <c r="N116" s="45">
        <f t="shared" si="8"/>
        <v>-1.184820559784786E-2</v>
      </c>
      <c r="O116" s="45">
        <f t="shared" si="8"/>
        <v>-6.2047817545877069E-3</v>
      </c>
      <c r="P116" s="45">
        <f t="shared" si="8"/>
        <v>-1.321974148061104E-3</v>
      </c>
      <c r="Q116" s="45">
        <f t="shared" si="8"/>
        <v>-2.5913109081068665E-3</v>
      </c>
      <c r="R116" s="45">
        <f t="shared" si="8"/>
        <v>-3.4379388214164659E-3</v>
      </c>
      <c r="S116" s="45">
        <f t="shared" si="8"/>
        <v>-9.9944002142526734E-3</v>
      </c>
      <c r="T116" s="45">
        <f t="shared" si="8"/>
        <v>-2.7583600982429633E-3</v>
      </c>
      <c r="U116" s="45">
        <f t="shared" si="8"/>
        <v>-1.587361105903233E-3</v>
      </c>
      <c r="V116" s="45">
        <f t="shared" si="8"/>
        <v>-1.8164204407846939E-3</v>
      </c>
      <c r="W116" s="45">
        <f t="shared" si="8"/>
        <v>-9.0686831930861956E-3</v>
      </c>
      <c r="X116" s="45">
        <f t="shared" si="8"/>
        <v>-1.7954633234861218E-3</v>
      </c>
      <c r="Y116" s="45">
        <f t="shared" si="8"/>
        <v>-1.3152270410679643E-3</v>
      </c>
      <c r="Z116" s="45">
        <f t="shared" si="8"/>
        <v>-9.8292244109650481E-4</v>
      </c>
      <c r="AA116" s="45">
        <f t="shared" si="8"/>
        <v>-1.3233271176596459E-2</v>
      </c>
      <c r="AB116" s="45">
        <f t="shared" si="8"/>
        <v>-1.4088869792863636E-3</v>
      </c>
      <c r="AC116" s="45">
        <f t="shared" si="8"/>
        <v>-7.7669902912621332E-4</v>
      </c>
      <c r="AD116" s="45">
        <f t="shared" si="8"/>
        <v>-8.5297766749379655E-4</v>
      </c>
      <c r="AE116" s="45">
        <f t="shared" si="8"/>
        <v>-2.7178322245659586E-3</v>
      </c>
      <c r="AF116" s="45">
        <f t="shared" si="8"/>
        <v>-6.3547082611207402E-3</v>
      </c>
      <c r="AG116" s="45">
        <f t="shared" si="8"/>
        <v>-2.3254371821902517E-3</v>
      </c>
      <c r="AH116" s="45">
        <f t="shared" si="8"/>
        <v>-9.8885201259467287E-2</v>
      </c>
      <c r="AI116" s="45">
        <f t="shared" si="8"/>
        <v>-1.4080805046560532E-3</v>
      </c>
      <c r="AJ116" s="45">
        <f t="shared" si="8"/>
        <v>-3.6080669915722007E-3</v>
      </c>
      <c r="AK116" s="45">
        <f t="shared" si="8"/>
        <v>-9.5873828988456544E-3</v>
      </c>
      <c r="AL116" s="45">
        <f t="shared" si="8"/>
        <v>-4.0763104104503912E-3</v>
      </c>
      <c r="AM116" s="45">
        <f t="shared" si="8"/>
        <v>-5.567735524676265E-3</v>
      </c>
      <c r="AN116" s="45">
        <f t="shared" si="8"/>
        <v>-6.3391855581352895E-3</v>
      </c>
      <c r="AO116" s="45">
        <f t="shared" si="8"/>
        <v>-5.6833744179676801E-3</v>
      </c>
      <c r="AP116" s="45">
        <f t="shared" si="8"/>
        <v>-3.2536677709417896E-3</v>
      </c>
      <c r="AQ116" s="45">
        <f t="shared" si="8"/>
        <v>-1.6241837647916737E-3</v>
      </c>
      <c r="AR116" s="45">
        <f t="shared" si="8"/>
        <v>-4.0203131612357168E-3</v>
      </c>
      <c r="AS116" s="45">
        <f t="shared" si="8"/>
        <v>-4.1493775933609967E-3</v>
      </c>
      <c r="AT116" s="45">
        <f t="shared" si="8"/>
        <v>0</v>
      </c>
    </row>
    <row r="117" spans="2:46" x14ac:dyDescent="0.3">
      <c r="B117" s="45">
        <f t="shared" ref="B117:AT117" si="9">B66-B15</f>
        <v>-3.2583262262459257E-2</v>
      </c>
      <c r="C117" s="45">
        <f t="shared" si="9"/>
        <v>-3.9538714991762772E-2</v>
      </c>
      <c r="D117" s="45">
        <f t="shared" si="9"/>
        <v>-3.181461115475228E-2</v>
      </c>
      <c r="E117" s="45">
        <f t="shared" si="9"/>
        <v>-4.0919424096994179E-2</v>
      </c>
      <c r="F117" s="45">
        <f t="shared" si="9"/>
        <v>-3.2901833872707661E-2</v>
      </c>
      <c r="G117" s="45">
        <f t="shared" si="9"/>
        <v>-1.0551084950640405E-2</v>
      </c>
      <c r="H117" s="45">
        <f t="shared" si="9"/>
        <v>-6.1423959827833566E-3</v>
      </c>
      <c r="I117" s="45">
        <f t="shared" si="9"/>
        <v>-1.0473980775604906E-2</v>
      </c>
      <c r="J117" s="45">
        <f t="shared" si="9"/>
        <v>-7.0375109434978773E-3</v>
      </c>
      <c r="K117" s="45">
        <f t="shared" si="9"/>
        <v>0.90653136761556219</v>
      </c>
      <c r="L117" s="45">
        <f t="shared" si="9"/>
        <v>-0.15726448777808288</v>
      </c>
      <c r="M117" s="45">
        <f t="shared" si="9"/>
        <v>-1.0645848119233497E-2</v>
      </c>
      <c r="N117" s="45">
        <f t="shared" si="9"/>
        <v>-1.5912082880201475E-2</v>
      </c>
      <c r="O117" s="45">
        <f t="shared" si="9"/>
        <v>-2.9179243926980028E-2</v>
      </c>
      <c r="P117" s="45">
        <f t="shared" si="9"/>
        <v>-4.2240221588047661E-2</v>
      </c>
      <c r="Q117" s="45">
        <f t="shared" si="9"/>
        <v>-5.4450330474144285E-3</v>
      </c>
      <c r="R117" s="45">
        <f t="shared" si="9"/>
        <v>-2.6896038666907309E-3</v>
      </c>
      <c r="S117" s="45">
        <f t="shared" si="9"/>
        <v>-6.2449784529983211E-3</v>
      </c>
      <c r="T117" s="45">
        <f t="shared" si="9"/>
        <v>-5.7056489703381846E-3</v>
      </c>
      <c r="U117" s="45">
        <f t="shared" si="9"/>
        <v>-3.233050441419708E-3</v>
      </c>
      <c r="V117" s="45">
        <f t="shared" si="9"/>
        <v>-5.2070719302494562E-3</v>
      </c>
      <c r="W117" s="45">
        <f t="shared" si="9"/>
        <v>-7.0502615419604292E-3</v>
      </c>
      <c r="X117" s="45">
        <f t="shared" si="9"/>
        <v>-3.3393530068791297E-2</v>
      </c>
      <c r="Y117" s="45">
        <f t="shared" si="9"/>
        <v>-2.2293098346101995E-2</v>
      </c>
      <c r="Z117" s="45">
        <f t="shared" si="9"/>
        <v>-2.1434606917244827E-2</v>
      </c>
      <c r="AA117" s="45">
        <f t="shared" si="9"/>
        <v>-1.6825115397548374E-2</v>
      </c>
      <c r="AB117" s="45">
        <f t="shared" si="9"/>
        <v>-0.11644800607520059</v>
      </c>
      <c r="AC117" s="45">
        <f t="shared" si="9"/>
        <v>-0.17902912621359215</v>
      </c>
      <c r="AD117" s="45">
        <f t="shared" si="9"/>
        <v>-0.19657258064516128</v>
      </c>
      <c r="AE117" s="45">
        <f t="shared" si="9"/>
        <v>-3.5453512899561904E-2</v>
      </c>
      <c r="AF117" s="45">
        <f t="shared" si="9"/>
        <v>-9.9859701246183055E-3</v>
      </c>
      <c r="AG117" s="45">
        <f t="shared" si="9"/>
        <v>-5.4725288354210587E-3</v>
      </c>
      <c r="AH117" s="45">
        <f t="shared" si="9"/>
        <v>-2.4395086942955208E-3</v>
      </c>
      <c r="AI117" s="45">
        <f t="shared" si="9"/>
        <v>-2.4969960949234012E-3</v>
      </c>
      <c r="AJ117" s="45">
        <f t="shared" si="9"/>
        <v>-3.877325722286544E-3</v>
      </c>
      <c r="AK117" s="45">
        <f t="shared" si="9"/>
        <v>-4.5612434651415741E-3</v>
      </c>
      <c r="AL117" s="45">
        <f t="shared" si="9"/>
        <v>-5.8736461245682868E-3</v>
      </c>
      <c r="AM117" s="45">
        <f t="shared" si="9"/>
        <v>-7.846879386760458E-3</v>
      </c>
      <c r="AN117" s="45">
        <f t="shared" si="9"/>
        <v>-1.2287063365768401E-2</v>
      </c>
      <c r="AO117" s="45">
        <f t="shared" si="9"/>
        <v>-5.7144991409576453E-3</v>
      </c>
      <c r="AP117" s="45">
        <f t="shared" si="9"/>
        <v>-4.8035967818267876E-3</v>
      </c>
      <c r="AQ117" s="45">
        <f t="shared" si="9"/>
        <v>-8.220358646292553E-3</v>
      </c>
      <c r="AR117" s="45">
        <f t="shared" si="9"/>
        <v>-9.73338975878121E-3</v>
      </c>
      <c r="AS117" s="45">
        <f t="shared" si="9"/>
        <v>-7.6565896067970771E-3</v>
      </c>
      <c r="AT117" s="45">
        <f t="shared" si="9"/>
        <v>0</v>
      </c>
    </row>
    <row r="118" spans="2:46" x14ac:dyDescent="0.3">
      <c r="B118" s="45">
        <f t="shared" ref="B118:AT118" si="10">B67-B16</f>
        <v>-5.4123204093682327E-2</v>
      </c>
      <c r="C118" s="45">
        <f t="shared" si="10"/>
        <v>-1.6474464579901158E-3</v>
      </c>
      <c r="D118" s="45">
        <f t="shared" si="10"/>
        <v>-4.7132757266299674E-3</v>
      </c>
      <c r="E118" s="45">
        <f t="shared" si="10"/>
        <v>-1.3387218994695627E-2</v>
      </c>
      <c r="F118" s="45">
        <f t="shared" si="10"/>
        <v>-1.6181229773462785E-2</v>
      </c>
      <c r="G118" s="45">
        <f t="shared" si="10"/>
        <v>-2.6405153429788632E-2</v>
      </c>
      <c r="H118" s="45">
        <f t="shared" si="10"/>
        <v>-2.6273314203730271E-2</v>
      </c>
      <c r="I118" s="45">
        <f t="shared" si="10"/>
        <v>-3.0096121975472321E-2</v>
      </c>
      <c r="J118" s="45">
        <f t="shared" si="10"/>
        <v>-2.1078860529328572E-2</v>
      </c>
      <c r="K118" s="45">
        <f t="shared" si="10"/>
        <v>-3.4850595745565698E-2</v>
      </c>
      <c r="L118" s="45">
        <f t="shared" si="10"/>
        <v>0.83341572827977672</v>
      </c>
      <c r="M118" s="45">
        <f t="shared" si="10"/>
        <v>-8.0567778566359119E-2</v>
      </c>
      <c r="N118" s="45">
        <f t="shared" si="10"/>
        <v>-0.18863640699826376</v>
      </c>
      <c r="O118" s="45">
        <f t="shared" si="10"/>
        <v>-4.8272722916966139E-2</v>
      </c>
      <c r="P118" s="45">
        <f t="shared" si="10"/>
        <v>-9.0859493033406038E-3</v>
      </c>
      <c r="Q118" s="45">
        <f t="shared" si="10"/>
        <v>-9.6108113427254664E-3</v>
      </c>
      <c r="R118" s="45">
        <f t="shared" si="10"/>
        <v>-7.5273692504765136E-3</v>
      </c>
      <c r="S118" s="45">
        <f t="shared" si="10"/>
        <v>-3.6812504565042731E-2</v>
      </c>
      <c r="T118" s="45">
        <f t="shared" si="10"/>
        <v>-8.8040808615152122E-3</v>
      </c>
      <c r="U118" s="45">
        <f t="shared" si="10"/>
        <v>-7.6534969856804176E-3</v>
      </c>
      <c r="V118" s="45">
        <f t="shared" si="10"/>
        <v>-7.3867764591910882E-3</v>
      </c>
      <c r="W118" s="45">
        <f t="shared" si="10"/>
        <v>-1.7312940641346374E-2</v>
      </c>
      <c r="X118" s="45">
        <f t="shared" si="10"/>
        <v>-7.0357109304049203E-3</v>
      </c>
      <c r="Y118" s="45">
        <f t="shared" si="10"/>
        <v>-1.0225890244303423E-2</v>
      </c>
      <c r="Z118" s="45">
        <f t="shared" si="10"/>
        <v>-1.0806398767610694E-2</v>
      </c>
      <c r="AA118" s="45">
        <f t="shared" si="10"/>
        <v>-7.4985479778681263E-3</v>
      </c>
      <c r="AB118" s="45">
        <f t="shared" si="10"/>
        <v>-3.8269766884161502E-3</v>
      </c>
      <c r="AC118" s="45">
        <f t="shared" si="10"/>
        <v>-8.1553398058252392E-3</v>
      </c>
      <c r="AD118" s="45">
        <f t="shared" si="10"/>
        <v>-3.2568238213399503E-3</v>
      </c>
      <c r="AE118" s="45">
        <f t="shared" si="10"/>
        <v>-2.8800908648385528E-3</v>
      </c>
      <c r="AF118" s="45">
        <f t="shared" si="10"/>
        <v>-2.3108030040439056E-3</v>
      </c>
      <c r="AG118" s="45">
        <f t="shared" si="10"/>
        <v>-5.1934763735582284E-3</v>
      </c>
      <c r="AH118" s="45">
        <f t="shared" si="10"/>
        <v>-2.8650043967889255E-3</v>
      </c>
      <c r="AI118" s="45">
        <f t="shared" si="10"/>
        <v>-4.5058576148993701E-4</v>
      </c>
      <c r="AJ118" s="45">
        <f t="shared" si="10"/>
        <v>-1.2385901612859793E-3</v>
      </c>
      <c r="AK118" s="45">
        <f t="shared" si="10"/>
        <v>-1.2543419529139331E-3</v>
      </c>
      <c r="AL118" s="45">
        <f t="shared" si="10"/>
        <v>-3.9001010267133429E-3</v>
      </c>
      <c r="AM118" s="45">
        <f t="shared" si="10"/>
        <v>-5.7885522310373635E-3</v>
      </c>
      <c r="AN118" s="45">
        <f t="shared" si="10"/>
        <v>-7.6435447264758842E-3</v>
      </c>
      <c r="AO118" s="45">
        <f t="shared" si="10"/>
        <v>-1.4192873683424219E-3</v>
      </c>
      <c r="AP118" s="45">
        <f t="shared" si="10"/>
        <v>-3.1945101751064842E-3</v>
      </c>
      <c r="AQ118" s="45">
        <f t="shared" si="10"/>
        <v>-1.8562100169047701E-2</v>
      </c>
      <c r="AR118" s="45">
        <f t="shared" si="10"/>
        <v>-9.7938455957922721E-3</v>
      </c>
      <c r="AS118" s="45">
        <f t="shared" si="10"/>
        <v>-1.1065006915629323E-2</v>
      </c>
      <c r="AT118" s="45">
        <f t="shared" si="10"/>
        <v>0</v>
      </c>
    </row>
    <row r="119" spans="2:46" x14ac:dyDescent="0.3">
      <c r="B119" s="45">
        <f t="shared" ref="B119:AT119" si="11">B68-B17</f>
        <v>-3.9872582679116812E-3</v>
      </c>
      <c r="C119" s="45">
        <f t="shared" si="11"/>
        <v>-1.6474464579901158E-3</v>
      </c>
      <c r="D119" s="45">
        <f t="shared" si="11"/>
        <v>-7.8554595443832797E-4</v>
      </c>
      <c r="E119" s="45">
        <f t="shared" si="11"/>
        <v>-7.5776711290729962E-4</v>
      </c>
      <c r="F119" s="45">
        <f t="shared" si="11"/>
        <v>-1.0787486515641857E-3</v>
      </c>
      <c r="G119" s="45">
        <f t="shared" si="11"/>
        <v>-2.6137603161209325E-3</v>
      </c>
      <c r="H119" s="45">
        <f t="shared" si="11"/>
        <v>-1.8382352941176468E-3</v>
      </c>
      <c r="I119" s="45">
        <f t="shared" si="11"/>
        <v>-1.4584023864766325E-3</v>
      </c>
      <c r="J119" s="45">
        <f t="shared" si="11"/>
        <v>-1.1785305407771567E-3</v>
      </c>
      <c r="K119" s="45">
        <f t="shared" si="11"/>
        <v>-1.3931920733609199E-3</v>
      </c>
      <c r="L119" s="45">
        <f t="shared" si="11"/>
        <v>-6.53666575116726E-3</v>
      </c>
      <c r="M119" s="45">
        <f t="shared" si="11"/>
        <v>0.93524485450674244</v>
      </c>
      <c r="N119" s="45">
        <f t="shared" si="11"/>
        <v>-6.8876042203270173E-3</v>
      </c>
      <c r="O119" s="45">
        <f t="shared" si="11"/>
        <v>-1.9884049638254045E-3</v>
      </c>
      <c r="P119" s="45">
        <f t="shared" si="11"/>
        <v>-1.7836159140506959E-3</v>
      </c>
      <c r="Q119" s="45">
        <f t="shared" si="11"/>
        <v>-6.7242877995178174E-4</v>
      </c>
      <c r="R119" s="45">
        <f t="shared" si="11"/>
        <v>-1.078482728869442E-3</v>
      </c>
      <c r="S119" s="45">
        <f t="shared" si="11"/>
        <v>-1.9355781170111756E-3</v>
      </c>
      <c r="T119" s="45">
        <f t="shared" si="11"/>
        <v>-8.312866049499342E-4</v>
      </c>
      <c r="U119" s="45">
        <f t="shared" si="11"/>
        <v>-1.1540656859191484E-3</v>
      </c>
      <c r="V119" s="45">
        <f t="shared" si="11"/>
        <v>-6.0547348026156471E-4</v>
      </c>
      <c r="W119" s="45">
        <f t="shared" si="11"/>
        <v>-1.2224243802592678E-3</v>
      </c>
      <c r="X119" s="45">
        <f t="shared" si="11"/>
        <v>-5.74130713905446E-4</v>
      </c>
      <c r="Y119" s="45">
        <f t="shared" si="11"/>
        <v>-6.5761352053398216E-4</v>
      </c>
      <c r="Z119" s="45">
        <f t="shared" si="11"/>
        <v>-8.0473182311994529E-4</v>
      </c>
      <c r="AA119" s="45">
        <f t="shared" si="11"/>
        <v>-8.9261150001528446E-4</v>
      </c>
      <c r="AB119" s="45">
        <f t="shared" si="11"/>
        <v>-4.9960531180367497E-4</v>
      </c>
      <c r="AC119" s="45">
        <f t="shared" si="11"/>
        <v>-1.5533980582524266E-3</v>
      </c>
      <c r="AD119" s="45">
        <f t="shared" si="11"/>
        <v>-1.08560794044665E-3</v>
      </c>
      <c r="AE119" s="45">
        <f t="shared" si="11"/>
        <v>-3.6508194061333772E-4</v>
      </c>
      <c r="AF119" s="45">
        <f t="shared" si="11"/>
        <v>-2.4758603614756129E-4</v>
      </c>
      <c r="AG119" s="45">
        <f t="shared" si="11"/>
        <v>-7.4413989830088051E-4</v>
      </c>
      <c r="AH119" s="45">
        <f t="shared" si="11"/>
        <v>-5.1059484299208582E-4</v>
      </c>
      <c r="AI119" s="45">
        <f t="shared" si="11"/>
        <v>-2.8161610093121065E-4</v>
      </c>
      <c r="AJ119" s="45">
        <f t="shared" si="11"/>
        <v>-5.3851746142868668E-4</v>
      </c>
      <c r="AK119" s="45">
        <f t="shared" si="11"/>
        <v>-2.8946352759552294E-4</v>
      </c>
      <c r="AL119" s="45">
        <f t="shared" si="11"/>
        <v>-3.6416605972323381E-4</v>
      </c>
      <c r="AM119" s="45">
        <f t="shared" si="11"/>
        <v>-1.2460371287519121E-3</v>
      </c>
      <c r="AN119" s="45">
        <f t="shared" si="11"/>
        <v>-8.0870268437116858E-4</v>
      </c>
      <c r="AO119" s="45">
        <f t="shared" si="11"/>
        <v>-3.5482184208560547E-4</v>
      </c>
      <c r="AP119" s="45">
        <f t="shared" si="11"/>
        <v>-3.5494557501183162E-4</v>
      </c>
      <c r="AQ119" s="45">
        <f t="shared" si="11"/>
        <v>-4.3709326350448038E-2</v>
      </c>
      <c r="AR119" s="45">
        <f t="shared" si="11"/>
        <v>-1.4509400882655218E-3</v>
      </c>
      <c r="AS119" s="45">
        <f t="shared" si="11"/>
        <v>-1.1608377790950407E-3</v>
      </c>
      <c r="AT119" s="45">
        <f t="shared" si="11"/>
        <v>0</v>
      </c>
    </row>
    <row r="120" spans="2:46" x14ac:dyDescent="0.3">
      <c r="B120" s="45">
        <f t="shared" ref="B120:AT120" si="12">B69-B18</f>
        <v>-4.7526369116607245E-3</v>
      </c>
      <c r="C120" s="45">
        <f t="shared" si="12"/>
        <v>-4.9423393739703465E-3</v>
      </c>
      <c r="D120" s="45">
        <f t="shared" si="12"/>
        <v>-1.9638648860958196E-3</v>
      </c>
      <c r="E120" s="45">
        <f t="shared" si="12"/>
        <v>-2.2733013387218992E-3</v>
      </c>
      <c r="F120" s="45">
        <f t="shared" si="12"/>
        <v>-3.2362459546925568E-3</v>
      </c>
      <c r="G120" s="45">
        <f t="shared" si="12"/>
        <v>-2.0546488574231477E-2</v>
      </c>
      <c r="H120" s="45">
        <f t="shared" si="12"/>
        <v>-3.1698350071736013E-2</v>
      </c>
      <c r="I120" s="45">
        <f t="shared" si="12"/>
        <v>-3.3145508783559825E-2</v>
      </c>
      <c r="J120" s="45">
        <f t="shared" si="12"/>
        <v>-2.1684961950299685E-2</v>
      </c>
      <c r="K120" s="45">
        <f t="shared" si="12"/>
        <v>-9.0453515210746284E-4</v>
      </c>
      <c r="L120" s="45">
        <f t="shared" si="12"/>
        <v>-1.8035338277030116E-2</v>
      </c>
      <c r="M120" s="45">
        <f t="shared" si="12"/>
        <v>-1.2462739531582681E-2</v>
      </c>
      <c r="N120" s="45">
        <f t="shared" si="12"/>
        <v>0.88348310533646235</v>
      </c>
      <c r="O120" s="45">
        <f t="shared" si="12"/>
        <v>-1.1427339370418288E-2</v>
      </c>
      <c r="P120" s="45">
        <f t="shared" si="12"/>
        <v>-2.6649320127580985E-3</v>
      </c>
      <c r="Q120" s="45">
        <f t="shared" si="12"/>
        <v>-1.0119233103176814E-2</v>
      </c>
      <c r="R120" s="45">
        <f t="shared" si="12"/>
        <v>-4.0027116137183003E-2</v>
      </c>
      <c r="S120" s="45">
        <f t="shared" si="12"/>
        <v>-3.8979378180313107E-2</v>
      </c>
      <c r="T120" s="45">
        <f t="shared" si="12"/>
        <v>-1.4226336671075009E-2</v>
      </c>
      <c r="U120" s="45">
        <f t="shared" si="12"/>
        <v>-3.2226346861316292E-2</v>
      </c>
      <c r="V120" s="45">
        <f t="shared" si="12"/>
        <v>-1.0656333252603539E-2</v>
      </c>
      <c r="W120" s="45">
        <f t="shared" si="12"/>
        <v>-4.0482146918353432E-2</v>
      </c>
      <c r="X120" s="45">
        <f t="shared" si="12"/>
        <v>-2.1608192323350419E-3</v>
      </c>
      <c r="Y120" s="45">
        <f t="shared" si="12"/>
        <v>-1.3678361227106828E-2</v>
      </c>
      <c r="Z120" s="45">
        <f t="shared" si="12"/>
        <v>-2.2750918256491028E-2</v>
      </c>
      <c r="AA120" s="45">
        <f t="shared" si="12"/>
        <v>-4.056491303151652E-3</v>
      </c>
      <c r="AB120" s="45">
        <f t="shared" si="12"/>
        <v>-7.0344427901957449E-3</v>
      </c>
      <c r="AC120" s="45">
        <f t="shared" si="12"/>
        <v>-1.5533980582524266E-3</v>
      </c>
      <c r="AD120" s="45">
        <f t="shared" si="12"/>
        <v>-6.9789081885856077E-4</v>
      </c>
      <c r="AE120" s="45">
        <f t="shared" si="12"/>
        <v>-3.8130780464059716E-3</v>
      </c>
      <c r="AF120" s="45">
        <f t="shared" si="12"/>
        <v>-1.4855162168853678E-3</v>
      </c>
      <c r="AG120" s="45">
        <f t="shared" si="12"/>
        <v>-1.7518293439166563E-3</v>
      </c>
      <c r="AH120" s="45">
        <f t="shared" si="12"/>
        <v>-1.3615862479788954E-3</v>
      </c>
      <c r="AI120" s="45">
        <f t="shared" si="12"/>
        <v>-6.9465304896365295E-4</v>
      </c>
      <c r="AJ120" s="45">
        <f t="shared" si="12"/>
        <v>-3.5003634992864636E-4</v>
      </c>
      <c r="AK120" s="45">
        <f t="shared" si="12"/>
        <v>-1.9823865829269151E-3</v>
      </c>
      <c r="AL120" s="45">
        <f t="shared" si="12"/>
        <v>-2.9133284777858705E-3</v>
      </c>
      <c r="AM120" s="45">
        <f t="shared" si="12"/>
        <v>-3.3043642844750071E-3</v>
      </c>
      <c r="AN120" s="45">
        <f t="shared" si="12"/>
        <v>-3.2739415125348924E-3</v>
      </c>
      <c r="AO120" s="45">
        <f t="shared" si="12"/>
        <v>-1.8176838226139787E-3</v>
      </c>
      <c r="AP120" s="45">
        <f t="shared" si="12"/>
        <v>-3.0761949834358739E-4</v>
      </c>
      <c r="AQ120" s="45">
        <f t="shared" si="12"/>
        <v>-5.4249947517871558E-3</v>
      </c>
      <c r="AR120" s="45">
        <f t="shared" si="12"/>
        <v>-1.4811680067710537E-3</v>
      </c>
      <c r="AS120" s="45">
        <f t="shared" si="12"/>
        <v>-1.1855364552459989E-3</v>
      </c>
      <c r="AT120" s="45">
        <f t="shared" si="12"/>
        <v>0</v>
      </c>
    </row>
    <row r="121" spans="2:46" x14ac:dyDescent="0.3">
      <c r="B121" s="45">
        <f t="shared" ref="B121:AT121" si="13">B70-B19</f>
        <v>-2.4637903008302526E-3</v>
      </c>
      <c r="C121" s="45">
        <f t="shared" si="13"/>
        <v>-3.2948929159802316E-3</v>
      </c>
      <c r="D121" s="45">
        <f t="shared" si="13"/>
        <v>-7.8554595443832797E-4</v>
      </c>
      <c r="E121" s="45">
        <f t="shared" si="13"/>
        <v>-2.045971204849709E-2</v>
      </c>
      <c r="F121" s="45">
        <f t="shared" si="13"/>
        <v>-8.6299892125134853E-3</v>
      </c>
      <c r="G121" s="45">
        <f t="shared" si="13"/>
        <v>-7.3816433074701399E-3</v>
      </c>
      <c r="H121" s="45">
        <f t="shared" si="13"/>
        <v>-2.7797704447632713E-3</v>
      </c>
      <c r="I121" s="45">
        <f t="shared" si="13"/>
        <v>-8.087504143188597E-3</v>
      </c>
      <c r="J121" s="45">
        <f t="shared" si="13"/>
        <v>-1.0775136372819718E-3</v>
      </c>
      <c r="K121" s="45">
        <f t="shared" si="13"/>
        <v>-6.3421430205235895E-4</v>
      </c>
      <c r="L121" s="45">
        <f t="shared" si="13"/>
        <v>-2.783118190973175E-3</v>
      </c>
      <c r="M121" s="45">
        <f t="shared" si="13"/>
        <v>-4.2867281760113549E-3</v>
      </c>
      <c r="N121" s="45">
        <f t="shared" si="13"/>
        <v>-4.8270467250491281E-3</v>
      </c>
      <c r="O121" s="45">
        <f t="shared" si="13"/>
        <v>0.87429926692539883</v>
      </c>
      <c r="P121" s="45">
        <f t="shared" si="13"/>
        <v>-3.7980527110961881E-3</v>
      </c>
      <c r="Q121" s="45">
        <f t="shared" si="13"/>
        <v>-2.3124989749561276E-3</v>
      </c>
      <c r="R121" s="45">
        <f t="shared" si="13"/>
        <v>-2.82606494667013E-3</v>
      </c>
      <c r="S121" s="45">
        <f t="shared" si="13"/>
        <v>-9.4831154286270803E-3</v>
      </c>
      <c r="T121" s="45">
        <f t="shared" si="13"/>
        <v>-4.7610051010768956E-3</v>
      </c>
      <c r="U121" s="45">
        <f t="shared" si="13"/>
        <v>-8.6575757954512299E-3</v>
      </c>
      <c r="V121" s="45">
        <f t="shared" si="13"/>
        <v>-3.3906514894647619E-3</v>
      </c>
      <c r="W121" s="45">
        <f t="shared" si="13"/>
        <v>-4.6338412554014106E-3</v>
      </c>
      <c r="X121" s="45">
        <f t="shared" si="13"/>
        <v>-3.423906802927023E-3</v>
      </c>
      <c r="Y121" s="45">
        <f t="shared" si="13"/>
        <v>-4.1429651793640871E-3</v>
      </c>
      <c r="Z121" s="45">
        <f t="shared" si="13"/>
        <v>-8.9307988112961367E-2</v>
      </c>
      <c r="AA121" s="45">
        <f t="shared" si="13"/>
        <v>-3.4267722312230609E-3</v>
      </c>
      <c r="AB121" s="45">
        <f t="shared" si="13"/>
        <v>-8.4932903006624757E-4</v>
      </c>
      <c r="AC121" s="45">
        <f t="shared" si="13"/>
        <v>-7.378640776699026E-3</v>
      </c>
      <c r="AD121" s="45">
        <f t="shared" si="13"/>
        <v>-7.7543424317617861E-4</v>
      </c>
      <c r="AE121" s="45">
        <f t="shared" si="13"/>
        <v>-2.8395262047704044E-3</v>
      </c>
      <c r="AF121" s="45">
        <f t="shared" si="13"/>
        <v>-2.4758603614756129E-4</v>
      </c>
      <c r="AG121" s="45">
        <f t="shared" si="13"/>
        <v>-1.5192856256976311E-3</v>
      </c>
      <c r="AH121" s="45">
        <f t="shared" si="13"/>
        <v>-2.2693104132981591E-4</v>
      </c>
      <c r="AI121" s="45">
        <f t="shared" si="13"/>
        <v>-1.1452388104535899E-3</v>
      </c>
      <c r="AJ121" s="45">
        <f t="shared" si="13"/>
        <v>-3.2311047685721202E-4</v>
      </c>
      <c r="AK121" s="45">
        <f t="shared" si="13"/>
        <v>-2.8946352759552294E-4</v>
      </c>
      <c r="AL121" s="45">
        <f t="shared" si="13"/>
        <v>-1.8090830063670325E-2</v>
      </c>
      <c r="AM121" s="45">
        <f t="shared" si="13"/>
        <v>-2.6892320310405188E-3</v>
      </c>
      <c r="AN121" s="45">
        <f t="shared" si="13"/>
        <v>-1.7217541022095846E-3</v>
      </c>
      <c r="AO121" s="45">
        <f t="shared" si="13"/>
        <v>-5.0422051243743926E-4</v>
      </c>
      <c r="AP121" s="45">
        <f t="shared" si="13"/>
        <v>-3.0761949834358739E-4</v>
      </c>
      <c r="AQ121" s="45">
        <f t="shared" si="13"/>
        <v>-1.9225032317942258E-3</v>
      </c>
      <c r="AR121" s="45">
        <f t="shared" si="13"/>
        <v>-5.7433045160510245E-4</v>
      </c>
      <c r="AS121" s="45">
        <f t="shared" si="13"/>
        <v>-6.6686425607587446E-4</v>
      </c>
      <c r="AT121" s="45">
        <f t="shared" si="13"/>
        <v>0</v>
      </c>
    </row>
    <row r="122" spans="2:46" x14ac:dyDescent="0.3">
      <c r="B122" s="45">
        <f t="shared" ref="B122:AT122" si="14">B71-B20</f>
        <v>-1.9608271920808816E-3</v>
      </c>
      <c r="C122" s="45">
        <f t="shared" si="14"/>
        <v>-1.6474464579901158E-3</v>
      </c>
      <c r="D122" s="45">
        <f t="shared" si="14"/>
        <v>-1.9245875883739036E-2</v>
      </c>
      <c r="E122" s="45">
        <f t="shared" si="14"/>
        <v>-1.8186410709775194E-2</v>
      </c>
      <c r="F122" s="45">
        <f t="shared" si="14"/>
        <v>-7.0118662351672065E-2</v>
      </c>
      <c r="G122" s="45">
        <f t="shared" si="14"/>
        <v>-2.7372450554652285E-3</v>
      </c>
      <c r="H122" s="45">
        <f t="shared" si="14"/>
        <v>-1.6140602582496414E-3</v>
      </c>
      <c r="I122" s="45">
        <f t="shared" si="14"/>
        <v>-3.3410672853828302E-2</v>
      </c>
      <c r="J122" s="45">
        <f t="shared" si="14"/>
        <v>-2.3233887803892519E-3</v>
      </c>
      <c r="K122" s="45">
        <f t="shared" si="14"/>
        <v>-3.1606745544904449E-3</v>
      </c>
      <c r="L122" s="45">
        <f t="shared" si="14"/>
        <v>-8.2211846562299708E-3</v>
      </c>
      <c r="M122" s="45">
        <f t="shared" si="14"/>
        <v>-4.2583392476933987E-3</v>
      </c>
      <c r="N122" s="45">
        <f t="shared" si="14"/>
        <v>-1.8125274264018464E-2</v>
      </c>
      <c r="O122" s="45">
        <f t="shared" si="14"/>
        <v>-2.4316036605816691E-2</v>
      </c>
      <c r="P122" s="45">
        <f t="shared" si="14"/>
        <v>0.67609535000839371</v>
      </c>
      <c r="Q122" s="45">
        <f t="shared" si="14"/>
        <v>-0.22132747281583648</v>
      </c>
      <c r="R122" s="45">
        <f t="shared" si="14"/>
        <v>-5.6829436855936714E-3</v>
      </c>
      <c r="S122" s="45">
        <f t="shared" si="14"/>
        <v>-0.12275704233924965</v>
      </c>
      <c r="T122" s="45">
        <f t="shared" si="14"/>
        <v>-9.2291706026827916E-2</v>
      </c>
      <c r="U122" s="45">
        <f t="shared" si="14"/>
        <v>-2.6206040304806655E-2</v>
      </c>
      <c r="V122" s="45">
        <f t="shared" si="14"/>
        <v>-7.3746669895858569E-2</v>
      </c>
      <c r="W122" s="45">
        <f t="shared" si="14"/>
        <v>-3.4085740277461911E-2</v>
      </c>
      <c r="X122" s="45">
        <f t="shared" si="14"/>
        <v>-3.8414564130400744E-3</v>
      </c>
      <c r="Y122" s="45">
        <f t="shared" si="14"/>
        <v>-9.6997994278762364E-3</v>
      </c>
      <c r="Z122" s="45">
        <f t="shared" si="14"/>
        <v>-4.1662116099809736E-2</v>
      </c>
      <c r="AA122" s="45">
        <f t="shared" si="14"/>
        <v>-4.3896921713080421E-3</v>
      </c>
      <c r="AB122" s="45">
        <f t="shared" si="14"/>
        <v>-1.572757521557969E-2</v>
      </c>
      <c r="AC122" s="45">
        <f t="shared" si="14"/>
        <v>-3.4951456310679599E-3</v>
      </c>
      <c r="AD122" s="45">
        <f t="shared" si="14"/>
        <v>-7.7543424317617866E-5</v>
      </c>
      <c r="AE122" s="45">
        <f t="shared" si="14"/>
        <v>-2.4541619341229923E-3</v>
      </c>
      <c r="AF122" s="45">
        <f t="shared" si="14"/>
        <v>0</v>
      </c>
      <c r="AG122" s="45">
        <f t="shared" si="14"/>
        <v>-1.2402331638348009E-4</v>
      </c>
      <c r="AH122" s="45">
        <f t="shared" si="14"/>
        <v>-8.509914049868096E-5</v>
      </c>
      <c r="AI122" s="45">
        <f t="shared" si="14"/>
        <v>-9.3872033643736883E-5</v>
      </c>
      <c r="AJ122" s="45">
        <f t="shared" si="14"/>
        <v>-2.9618460378577768E-4</v>
      </c>
      <c r="AK122" s="45">
        <f t="shared" si="14"/>
        <v>-2.6314866145047543E-5</v>
      </c>
      <c r="AL122" s="45">
        <f t="shared" si="14"/>
        <v>-4.9514836830110657E-3</v>
      </c>
      <c r="AM122" s="45">
        <f t="shared" si="14"/>
        <v>-8.6670557246731096E-3</v>
      </c>
      <c r="AN122" s="45">
        <f t="shared" si="14"/>
        <v>-1.7778415464482306E-2</v>
      </c>
      <c r="AO122" s="45">
        <f t="shared" si="14"/>
        <v>-6.2249445979930786E-6</v>
      </c>
      <c r="AP122" s="45">
        <f t="shared" si="14"/>
        <v>-3.549455750118316E-5</v>
      </c>
      <c r="AQ122" s="45">
        <f t="shared" si="14"/>
        <v>-2.6517285955782427E-4</v>
      </c>
      <c r="AR122" s="45">
        <f t="shared" si="14"/>
        <v>-1.5113959252765853E-4</v>
      </c>
      <c r="AS122" s="45">
        <f t="shared" si="14"/>
        <v>-1.7783046828689986E-3</v>
      </c>
      <c r="AT122" s="45">
        <f t="shared" si="14"/>
        <v>0</v>
      </c>
    </row>
    <row r="123" spans="2:46" x14ac:dyDescent="0.3">
      <c r="B123" s="45">
        <f t="shared" ref="B123:AT123" si="15">B72-B21</f>
        <v>-2.2742679699971563E-3</v>
      </c>
      <c r="C123" s="45">
        <f t="shared" si="15"/>
        <v>-3.2948929159802316E-3</v>
      </c>
      <c r="D123" s="45">
        <f t="shared" si="15"/>
        <v>-1.9638648860958196E-3</v>
      </c>
      <c r="E123" s="45">
        <f t="shared" si="15"/>
        <v>-3.7888355645364982E-3</v>
      </c>
      <c r="F123" s="45">
        <f t="shared" si="15"/>
        <v>-5.3937432578209281E-3</v>
      </c>
      <c r="G123" s="45">
        <f t="shared" si="15"/>
        <v>-1.9023510122318496E-2</v>
      </c>
      <c r="H123" s="45">
        <f t="shared" si="15"/>
        <v>-1.0805236728837877E-2</v>
      </c>
      <c r="I123" s="45">
        <f t="shared" si="15"/>
        <v>-2.5986078886310906E-2</v>
      </c>
      <c r="J123" s="45">
        <f t="shared" si="15"/>
        <v>-5.9263250050508457E-3</v>
      </c>
      <c r="K123" s="45">
        <f t="shared" si="15"/>
        <v>-2.7447963236364387E-3</v>
      </c>
      <c r="L123" s="45">
        <f t="shared" si="15"/>
        <v>-6.1338460130000898E-3</v>
      </c>
      <c r="M123" s="45">
        <f t="shared" si="15"/>
        <v>-4.2299503193754433E-3</v>
      </c>
      <c r="N123" s="45">
        <f t="shared" si="15"/>
        <v>-3.1022837845572655E-2</v>
      </c>
      <c r="O123" s="45">
        <f t="shared" si="15"/>
        <v>-7.8338364237458703E-3</v>
      </c>
      <c r="P123" s="45">
        <f t="shared" si="15"/>
        <v>-1.8108947456773536E-2</v>
      </c>
      <c r="Q123" s="45">
        <f t="shared" si="15"/>
        <v>0.84763747888409624</v>
      </c>
      <c r="R123" s="45">
        <f t="shared" si="15"/>
        <v>-1.5310052779624161E-2</v>
      </c>
      <c r="S123" s="45">
        <f t="shared" si="15"/>
        <v>-3.6763810775935539E-2</v>
      </c>
      <c r="T123" s="45">
        <f t="shared" si="15"/>
        <v>-0.1123559418099377</v>
      </c>
      <c r="U123" s="45">
        <f t="shared" si="15"/>
        <v>-4.7854146095549957E-2</v>
      </c>
      <c r="V123" s="45">
        <f t="shared" si="15"/>
        <v>-2.9668200532816668E-2</v>
      </c>
      <c r="W123" s="45">
        <f t="shared" si="15"/>
        <v>-4.0595860814191503E-2</v>
      </c>
      <c r="X123" s="45">
        <f t="shared" si="15"/>
        <v>-9.0608265394532192E-3</v>
      </c>
      <c r="Y123" s="45">
        <f t="shared" si="15"/>
        <v>-7.3323907539539013E-3</v>
      </c>
      <c r="Z123" s="45">
        <f t="shared" si="15"/>
        <v>-4.8002253249104739E-2</v>
      </c>
      <c r="AA123" s="45">
        <f t="shared" si="15"/>
        <v>-5.7133249778375571E-3</v>
      </c>
      <c r="AB123" s="45">
        <f t="shared" si="15"/>
        <v>-3.3373634828485492E-3</v>
      </c>
      <c r="AC123" s="45">
        <f t="shared" si="15"/>
        <v>-2.7184466019417462E-3</v>
      </c>
      <c r="AD123" s="45">
        <f t="shared" si="15"/>
        <v>-1.8610421836228286E-3</v>
      </c>
      <c r="AE123" s="45">
        <f t="shared" si="15"/>
        <v>-6.3483693006652613E-3</v>
      </c>
      <c r="AF123" s="45">
        <f t="shared" si="15"/>
        <v>-1.072872823306099E-3</v>
      </c>
      <c r="AG123" s="45">
        <f t="shared" si="15"/>
        <v>-1.7673322584645912E-3</v>
      </c>
      <c r="AH123" s="45">
        <f t="shared" si="15"/>
        <v>-1.0211896859841716E-3</v>
      </c>
      <c r="AI123" s="45">
        <f t="shared" si="15"/>
        <v>-4.0552718534094334E-3</v>
      </c>
      <c r="AJ123" s="45">
        <f t="shared" si="15"/>
        <v>-2.1540698457147467E-3</v>
      </c>
      <c r="AK123" s="45">
        <f t="shared" si="15"/>
        <v>-7.9821760639977549E-4</v>
      </c>
      <c r="AL123" s="45">
        <f t="shared" si="15"/>
        <v>-5.2275450508657752E-3</v>
      </c>
      <c r="AM123" s="45">
        <f t="shared" si="15"/>
        <v>-2.5472784340940984E-3</v>
      </c>
      <c r="AN123" s="45">
        <f t="shared" si="15"/>
        <v>-3.2348107374846743E-3</v>
      </c>
      <c r="AO123" s="45">
        <f t="shared" si="15"/>
        <v>-1.4068374791464356E-3</v>
      </c>
      <c r="AP123" s="45">
        <f t="shared" si="15"/>
        <v>-2.47278750591576E-3</v>
      </c>
      <c r="AQ123" s="45">
        <f t="shared" si="15"/>
        <v>-2.7290706796159418E-3</v>
      </c>
      <c r="AR123" s="45">
        <f t="shared" si="15"/>
        <v>-4.0807689982467806E-3</v>
      </c>
      <c r="AS123" s="45">
        <f t="shared" si="15"/>
        <v>-2.148784825133373E-3</v>
      </c>
      <c r="AT123" s="45">
        <f t="shared" si="15"/>
        <v>0</v>
      </c>
    </row>
    <row r="124" spans="2:46" x14ac:dyDescent="0.3">
      <c r="B124" s="45">
        <f t="shared" ref="B124:AT124" si="16">B73-B22</f>
        <v>-1.122555344165263E-3</v>
      </c>
      <c r="C124" s="45">
        <f t="shared" si="16"/>
        <v>-1.6474464579901158E-3</v>
      </c>
      <c r="D124" s="45">
        <f t="shared" si="16"/>
        <v>-5.1060487038491319E-3</v>
      </c>
      <c r="E124" s="45">
        <f t="shared" si="16"/>
        <v>-2.0207123010861326E-3</v>
      </c>
      <c r="F124" s="45">
        <f t="shared" si="16"/>
        <v>-1.4023732470334414E-2</v>
      </c>
      <c r="G124" s="45">
        <f t="shared" si="16"/>
        <v>-2.1335418853375594E-3</v>
      </c>
      <c r="H124" s="45">
        <f t="shared" si="16"/>
        <v>-2.8694404591104736E-3</v>
      </c>
      <c r="I124" s="45">
        <f t="shared" si="16"/>
        <v>-2.3201856148491878E-3</v>
      </c>
      <c r="J124" s="45">
        <f t="shared" si="16"/>
        <v>-3.0305071048555457E-3</v>
      </c>
      <c r="K124" s="45">
        <f t="shared" si="16"/>
        <v>-1.7882763926722253E-3</v>
      </c>
      <c r="L124" s="45">
        <f t="shared" si="16"/>
        <v>-2.1605785956239124E-3</v>
      </c>
      <c r="M124" s="45">
        <f t="shared" si="16"/>
        <v>-3.0943931866572036E-3</v>
      </c>
      <c r="N124" s="45">
        <f t="shared" si="16"/>
        <v>-1.060805525346765E-2</v>
      </c>
      <c r="O124" s="45">
        <f t="shared" si="16"/>
        <v>-1.8446648459585074E-3</v>
      </c>
      <c r="P124" s="45">
        <f t="shared" si="16"/>
        <v>-1.5737787476917905E-3</v>
      </c>
      <c r="Q124" s="45">
        <f t="shared" si="16"/>
        <v>-5.3630295376642118E-3</v>
      </c>
      <c r="R124" s="45">
        <f t="shared" si="16"/>
        <v>0.56527901888885457</v>
      </c>
      <c r="S124" s="45">
        <f t="shared" si="16"/>
        <v>-4.5175662844204233E-2</v>
      </c>
      <c r="T124" s="45">
        <f t="shared" si="16"/>
        <v>-1.8269412431513327E-2</v>
      </c>
      <c r="U124" s="45">
        <f t="shared" si="16"/>
        <v>-4.8220780681690341E-2</v>
      </c>
      <c r="V124" s="45">
        <f t="shared" si="16"/>
        <v>-3.1484620973601363E-3</v>
      </c>
      <c r="W124" s="45">
        <f t="shared" si="16"/>
        <v>-6.5925631112121907E-2</v>
      </c>
      <c r="X124" s="45">
        <f t="shared" si="16"/>
        <v>-5.292441308182929E-3</v>
      </c>
      <c r="Y124" s="45">
        <f t="shared" si="16"/>
        <v>-5.5568342485121484E-3</v>
      </c>
      <c r="Z124" s="45">
        <f t="shared" si="16"/>
        <v>-5.7480844508567526E-3</v>
      </c>
      <c r="AA124" s="45">
        <f t="shared" si="16"/>
        <v>-7.4802066456760305E-3</v>
      </c>
      <c r="AB124" s="45">
        <f t="shared" si="16"/>
        <v>-3.0076239770581237E-3</v>
      </c>
      <c r="AC124" s="45">
        <f t="shared" si="16"/>
        <v>-3.1067961165048533E-3</v>
      </c>
      <c r="AD124" s="45">
        <f t="shared" si="16"/>
        <v>-3.1017369727047144E-3</v>
      </c>
      <c r="AE124" s="45">
        <f t="shared" si="16"/>
        <v>-5.0705825085185794E-3</v>
      </c>
      <c r="AF124" s="45">
        <f t="shared" si="16"/>
        <v>-7.7576957992902549E-3</v>
      </c>
      <c r="AG124" s="45">
        <f t="shared" si="16"/>
        <v>-2.8680391913679768E-3</v>
      </c>
      <c r="AH124" s="45">
        <f t="shared" si="16"/>
        <v>-3.4323320001134654E-3</v>
      </c>
      <c r="AI124" s="45">
        <f t="shared" si="16"/>
        <v>-1.4287323520576753E-2</v>
      </c>
      <c r="AJ124" s="45">
        <f t="shared" si="16"/>
        <v>-2.280621449150488E-2</v>
      </c>
      <c r="AK124" s="45">
        <f t="shared" si="16"/>
        <v>-5.6226097329918241E-3</v>
      </c>
      <c r="AL124" s="45">
        <f t="shared" si="16"/>
        <v>-3.35972558325306E-3</v>
      </c>
      <c r="AM124" s="45">
        <f t="shared" si="16"/>
        <v>-6.7506821658964338E-3</v>
      </c>
      <c r="AN124" s="45">
        <f t="shared" si="16"/>
        <v>-6.234836824668041E-3</v>
      </c>
      <c r="AO124" s="45">
        <f t="shared" si="16"/>
        <v>-2.8385747366848437E-3</v>
      </c>
      <c r="AP124" s="45">
        <f t="shared" si="16"/>
        <v>-5.0520586843350703E-3</v>
      </c>
      <c r="AQ124" s="45">
        <f t="shared" si="16"/>
        <v>-6.3530997602395407E-3</v>
      </c>
      <c r="AR124" s="45">
        <f t="shared" si="16"/>
        <v>-4.2319085907744393E-3</v>
      </c>
      <c r="AS124" s="45">
        <f t="shared" si="16"/>
        <v>-6.4216557992491617E-3</v>
      </c>
      <c r="AT124" s="45">
        <f t="shared" si="16"/>
        <v>0</v>
      </c>
    </row>
    <row r="125" spans="2:46" x14ac:dyDescent="0.3">
      <c r="B125" s="45">
        <f t="shared" ref="B125:AT125" si="17">B74-B23</f>
        <v>-3.2583262262459263E-3</v>
      </c>
      <c r="C125" s="45">
        <f t="shared" si="17"/>
        <v>-3.2948929159802316E-3</v>
      </c>
      <c r="D125" s="45">
        <f t="shared" si="17"/>
        <v>-2.7494108405341474E-3</v>
      </c>
      <c r="E125" s="45">
        <f t="shared" si="17"/>
        <v>-4.2940136398080314E-3</v>
      </c>
      <c r="F125" s="45">
        <f t="shared" si="17"/>
        <v>-4.8543689320388354E-3</v>
      </c>
      <c r="G125" s="45">
        <f t="shared" si="17"/>
        <v>-4.143599031330822E-3</v>
      </c>
      <c r="H125" s="45">
        <f t="shared" si="17"/>
        <v>-6.5907460545193679E-3</v>
      </c>
      <c r="I125" s="45">
        <f t="shared" si="17"/>
        <v>-5.1706993702353328E-3</v>
      </c>
      <c r="J125" s="45">
        <f t="shared" si="17"/>
        <v>-5.0845174759243045E-3</v>
      </c>
      <c r="K125" s="45">
        <f t="shared" si="17"/>
        <v>-4.9593479029340212E-3</v>
      </c>
      <c r="L125" s="45">
        <f t="shared" si="17"/>
        <v>-5.8958161677194892E-3</v>
      </c>
      <c r="M125" s="45">
        <f t="shared" si="17"/>
        <v>-3.832505322924059E-3</v>
      </c>
      <c r="N125" s="45">
        <f t="shared" si="17"/>
        <v>-8.3185469253811064E-3</v>
      </c>
      <c r="O125" s="45">
        <f t="shared" si="17"/>
        <v>-5.1746442432082807E-3</v>
      </c>
      <c r="P125" s="45">
        <f t="shared" si="17"/>
        <v>-5.3088803088803069E-3</v>
      </c>
      <c r="Q125" s="45">
        <f t="shared" si="17"/>
        <v>-1.2562937693733289E-2</v>
      </c>
      <c r="R125" s="45">
        <f t="shared" si="17"/>
        <v>-8.0151075621448159E-2</v>
      </c>
      <c r="S125" s="45">
        <f t="shared" si="17"/>
        <v>0.90005599785747326</v>
      </c>
      <c r="T125" s="45">
        <f t="shared" si="17"/>
        <v>-5.7075382580767074E-2</v>
      </c>
      <c r="U125" s="45">
        <f t="shared" si="17"/>
        <v>-4.2000491623649591E-2</v>
      </c>
      <c r="V125" s="45">
        <f t="shared" si="17"/>
        <v>-2.1191571809154763E-2</v>
      </c>
      <c r="W125" s="45">
        <f t="shared" si="17"/>
        <v>-2.3453491016602233E-2</v>
      </c>
      <c r="X125" s="45">
        <f t="shared" si="17"/>
        <v>-1.5772936522020525E-2</v>
      </c>
      <c r="Y125" s="45">
        <f t="shared" si="17"/>
        <v>-5.392430868378653E-3</v>
      </c>
      <c r="Z125" s="45">
        <f t="shared" si="17"/>
        <v>-2.9441688557288289E-2</v>
      </c>
      <c r="AA125" s="45">
        <f t="shared" si="17"/>
        <v>-5.8172591935927616E-3</v>
      </c>
      <c r="AB125" s="45">
        <f t="shared" si="17"/>
        <v>-5.1459347115778526E-3</v>
      </c>
      <c r="AC125" s="45">
        <f t="shared" si="17"/>
        <v>-8.1553398058252392E-3</v>
      </c>
      <c r="AD125" s="45">
        <f t="shared" si="17"/>
        <v>-3.7996277915632753E-3</v>
      </c>
      <c r="AE125" s="45">
        <f t="shared" si="17"/>
        <v>-4.2592893071556059E-3</v>
      </c>
      <c r="AF125" s="45">
        <f t="shared" si="17"/>
        <v>-1.402987538169514E-3</v>
      </c>
      <c r="AG125" s="45">
        <f t="shared" si="17"/>
        <v>-4.557856877092893E-3</v>
      </c>
      <c r="AH125" s="45">
        <f t="shared" si="17"/>
        <v>-1.2764871074802144E-3</v>
      </c>
      <c r="AI125" s="45">
        <f t="shared" si="17"/>
        <v>-9.9316611595073618E-3</v>
      </c>
      <c r="AJ125" s="45">
        <f t="shared" si="17"/>
        <v>-3.8234739761436754E-3</v>
      </c>
      <c r="AK125" s="45">
        <f t="shared" si="17"/>
        <v>-8.5084733868987048E-4</v>
      </c>
      <c r="AL125" s="45">
        <f t="shared" si="17"/>
        <v>-4.8222634682705632E-3</v>
      </c>
      <c r="AM125" s="45">
        <f t="shared" si="17"/>
        <v>-4.5504014132269196E-3</v>
      </c>
      <c r="AN125" s="45">
        <f t="shared" si="17"/>
        <v>-3.6913364464038825E-3</v>
      </c>
      <c r="AO125" s="45">
        <f t="shared" si="17"/>
        <v>-1.8799332685939096E-3</v>
      </c>
      <c r="AP125" s="45">
        <f t="shared" si="17"/>
        <v>-7.8088026502602951E-4</v>
      </c>
      <c r="AQ125" s="45">
        <f t="shared" si="17"/>
        <v>-1.8120145403117992E-3</v>
      </c>
      <c r="AR125" s="45">
        <f t="shared" si="17"/>
        <v>-2.3880055619370051E-3</v>
      </c>
      <c r="AS125" s="45">
        <f t="shared" si="17"/>
        <v>-2.2722782058881646E-3</v>
      </c>
      <c r="AT125" s="45">
        <f t="shared" si="17"/>
        <v>0</v>
      </c>
    </row>
    <row r="126" spans="2:46" x14ac:dyDescent="0.3">
      <c r="B126" s="45">
        <f t="shared" ref="B126:AT126" si="18">B75-B24</f>
        <v>-1.0795483537069835E-2</v>
      </c>
      <c r="C126" s="45">
        <f t="shared" si="18"/>
        <v>-1.3179571663920926E-2</v>
      </c>
      <c r="D126" s="45">
        <f t="shared" si="18"/>
        <v>-1.0212097407698264E-2</v>
      </c>
      <c r="E126" s="45">
        <f t="shared" si="18"/>
        <v>-2.4753725688305122E-2</v>
      </c>
      <c r="F126" s="45">
        <f t="shared" si="18"/>
        <v>-1.4023732470334414E-2</v>
      </c>
      <c r="G126" s="45">
        <f t="shared" si="18"/>
        <v>-6.0507522278705058E-3</v>
      </c>
      <c r="H126" s="45">
        <f t="shared" si="18"/>
        <v>-6.007890961262554E-3</v>
      </c>
      <c r="I126" s="45">
        <f t="shared" si="18"/>
        <v>-6.0324825986078886E-3</v>
      </c>
      <c r="J126" s="45">
        <f t="shared" si="18"/>
        <v>-1.5186207825442791E-2</v>
      </c>
      <c r="K126" s="45">
        <f t="shared" si="18"/>
        <v>-4.5954544509367659E-3</v>
      </c>
      <c r="L126" s="45">
        <f t="shared" si="18"/>
        <v>-9.8507735969971585E-3</v>
      </c>
      <c r="M126" s="45">
        <f t="shared" si="18"/>
        <v>-5.3371185237757269E-3</v>
      </c>
      <c r="N126" s="45">
        <f t="shared" si="18"/>
        <v>-1.2649533512678149E-2</v>
      </c>
      <c r="O126" s="45">
        <f t="shared" si="18"/>
        <v>-1.3176177471132196E-2</v>
      </c>
      <c r="P126" s="45">
        <f t="shared" si="18"/>
        <v>-1.5758771193553792E-2</v>
      </c>
      <c r="Q126" s="45">
        <f t="shared" si="18"/>
        <v>-1.5482262640841026E-2</v>
      </c>
      <c r="R126" s="45">
        <f t="shared" si="18"/>
        <v>-1.6190446844007379E-2</v>
      </c>
      <c r="S126" s="45">
        <f t="shared" si="18"/>
        <v>-3.408565237503957E-2</v>
      </c>
      <c r="T126" s="45">
        <f t="shared" si="18"/>
        <v>0.88067258643491397</v>
      </c>
      <c r="U126" s="45">
        <f t="shared" si="18"/>
        <v>-0.17355981351631727</v>
      </c>
      <c r="V126" s="45">
        <f t="shared" si="18"/>
        <v>-1.7437636231533063E-2</v>
      </c>
      <c r="W126" s="45">
        <f t="shared" si="18"/>
        <v>-1.8762792813281786E-2</v>
      </c>
      <c r="X126" s="45">
        <f t="shared" si="18"/>
        <v>-1.0094261824483022E-2</v>
      </c>
      <c r="Y126" s="45">
        <f t="shared" si="18"/>
        <v>-1.2330253510012166E-2</v>
      </c>
      <c r="Z126" s="45">
        <f t="shared" si="18"/>
        <v>-1.3812646935408776E-2</v>
      </c>
      <c r="AA126" s="45">
        <f t="shared" si="18"/>
        <v>-1.242013878274692E-2</v>
      </c>
      <c r="AB126" s="45">
        <f t="shared" si="18"/>
        <v>-5.8054137231587036E-3</v>
      </c>
      <c r="AC126" s="45">
        <f t="shared" si="18"/>
        <v>-1.941747572815533E-3</v>
      </c>
      <c r="AD126" s="45">
        <f t="shared" si="18"/>
        <v>-2.4038461538461535E-3</v>
      </c>
      <c r="AE126" s="45">
        <f t="shared" si="18"/>
        <v>-9.836930066526044E-3</v>
      </c>
      <c r="AF126" s="45">
        <f t="shared" si="18"/>
        <v>-6.6022942972683021E-4</v>
      </c>
      <c r="AG126" s="45">
        <f t="shared" si="18"/>
        <v>-2.3564430112861215E-3</v>
      </c>
      <c r="AH126" s="45">
        <f t="shared" si="18"/>
        <v>-1.4466853884775761E-3</v>
      </c>
      <c r="AI126" s="45">
        <f t="shared" si="18"/>
        <v>-1.9525382997897271E-3</v>
      </c>
      <c r="AJ126" s="45">
        <f t="shared" si="18"/>
        <v>-3.4195858800721603E-3</v>
      </c>
      <c r="AK126" s="45">
        <f t="shared" si="18"/>
        <v>-1.5876635907512019E-3</v>
      </c>
      <c r="AL126" s="45">
        <f t="shared" si="18"/>
        <v>-5.6563212179592598E-3</v>
      </c>
      <c r="AM126" s="45">
        <f t="shared" si="18"/>
        <v>-4.1245406223876582E-3</v>
      </c>
      <c r="AN126" s="45">
        <f t="shared" si="18"/>
        <v>-3.6522056713536644E-3</v>
      </c>
      <c r="AO126" s="45">
        <f t="shared" si="18"/>
        <v>-7.5944324095515551E-4</v>
      </c>
      <c r="AP126" s="45">
        <f t="shared" si="18"/>
        <v>-6.8622811168954107E-4</v>
      </c>
      <c r="AQ126" s="45">
        <f t="shared" si="18"/>
        <v>-1.5578905499022177E-3</v>
      </c>
      <c r="AR126" s="45">
        <f t="shared" si="18"/>
        <v>-1.6323075992987122E-3</v>
      </c>
      <c r="AS126" s="45">
        <f t="shared" si="18"/>
        <v>-4.6927484686820793E-3</v>
      </c>
      <c r="AT126" s="45">
        <f t="shared" si="18"/>
        <v>0</v>
      </c>
    </row>
    <row r="127" spans="2:46" x14ac:dyDescent="0.3">
      <c r="B127" s="45">
        <f t="shared" ref="B127:AT127" si="19">B76-B25</f>
        <v>-2.6095767091634035E-3</v>
      </c>
      <c r="C127" s="45">
        <f t="shared" si="19"/>
        <v>-4.9423393739703465E-3</v>
      </c>
      <c r="D127" s="45">
        <f t="shared" si="19"/>
        <v>-2.3566378633149837E-3</v>
      </c>
      <c r="E127" s="45">
        <f t="shared" si="19"/>
        <v>-4.2940136398080314E-3</v>
      </c>
      <c r="F127" s="45">
        <f t="shared" si="19"/>
        <v>-2.6968716289104641E-3</v>
      </c>
      <c r="G127" s="45">
        <f t="shared" si="19"/>
        <v>-1.9620353029149258E-3</v>
      </c>
      <c r="H127" s="45">
        <f t="shared" si="19"/>
        <v>-5.4698708751793395E-3</v>
      </c>
      <c r="I127" s="45">
        <f t="shared" si="19"/>
        <v>-2.3201856148491878E-3</v>
      </c>
      <c r="J127" s="45">
        <f t="shared" si="19"/>
        <v>-2.3907333827193748E-3</v>
      </c>
      <c r="K127" s="45">
        <f t="shared" si="19"/>
        <v>-8.0056559439396139E-4</v>
      </c>
      <c r="L127" s="45">
        <f t="shared" si="19"/>
        <v>-1.5929689645701724E-3</v>
      </c>
      <c r="M127" s="45">
        <f t="shared" si="19"/>
        <v>-1.5613910574875797E-3</v>
      </c>
      <c r="N127" s="45">
        <f t="shared" si="19"/>
        <v>-9.4823803254917658E-3</v>
      </c>
      <c r="O127" s="45">
        <f t="shared" si="19"/>
        <v>-5.8933448325427648E-3</v>
      </c>
      <c r="P127" s="45">
        <f t="shared" si="19"/>
        <v>-1.1541044149739797E-2</v>
      </c>
      <c r="Q127" s="45">
        <f t="shared" si="19"/>
        <v>-7.7411313204205131E-3</v>
      </c>
      <c r="R127" s="45">
        <f t="shared" si="19"/>
        <v>-1.2435566159412954E-2</v>
      </c>
      <c r="S127" s="45">
        <f t="shared" si="19"/>
        <v>-1.0286562948895871E-2</v>
      </c>
      <c r="T127" s="45">
        <f t="shared" si="19"/>
        <v>-2.0952201020215389E-2</v>
      </c>
      <c r="U127" s="45">
        <f t="shared" si="19"/>
        <v>0.82496531553489072</v>
      </c>
      <c r="V127" s="45">
        <f t="shared" si="19"/>
        <v>-2.651973843545653E-2</v>
      </c>
      <c r="W127" s="45">
        <f t="shared" si="19"/>
        <v>-6.2542642710939284E-3</v>
      </c>
      <c r="X127" s="45">
        <f t="shared" si="19"/>
        <v>-2.4113489984028732E-3</v>
      </c>
      <c r="Y127" s="45">
        <f t="shared" si="19"/>
        <v>-7.4310327820339989E-3</v>
      </c>
      <c r="Z127" s="45">
        <f t="shared" si="19"/>
        <v>-7.7081812485989051E-3</v>
      </c>
      <c r="AA127" s="45">
        <f t="shared" si="19"/>
        <v>-1.4853422186898174E-2</v>
      </c>
      <c r="AB127" s="45">
        <f t="shared" si="19"/>
        <v>-1.4988159354110251E-2</v>
      </c>
      <c r="AC127" s="45">
        <f t="shared" si="19"/>
        <v>-1.2815533980582518E-2</v>
      </c>
      <c r="AD127" s="45">
        <f t="shared" si="19"/>
        <v>-1.9385856079404465E-3</v>
      </c>
      <c r="AE127" s="45">
        <f t="shared" si="19"/>
        <v>-7.9303910433230571E-3</v>
      </c>
      <c r="AF127" s="45">
        <f t="shared" si="19"/>
        <v>-1.4855162168853678E-3</v>
      </c>
      <c r="AG127" s="45">
        <f t="shared" si="19"/>
        <v>-7.9064864194468547E-4</v>
      </c>
      <c r="AH127" s="45">
        <f t="shared" si="19"/>
        <v>-4.5386208265963182E-4</v>
      </c>
      <c r="AI127" s="45">
        <f t="shared" si="19"/>
        <v>-1.4080805046560532E-3</v>
      </c>
      <c r="AJ127" s="45">
        <f t="shared" si="19"/>
        <v>-1.4539971458574542E-3</v>
      </c>
      <c r="AK127" s="45">
        <f t="shared" si="19"/>
        <v>-6.2278516543279186E-4</v>
      </c>
      <c r="AL127" s="45">
        <f t="shared" si="19"/>
        <v>-1.9324295749829662E-3</v>
      </c>
      <c r="AM127" s="45">
        <f t="shared" si="19"/>
        <v>-1.8611693821864003E-3</v>
      </c>
      <c r="AN127" s="45">
        <f t="shared" si="19"/>
        <v>-3.8869903216549716E-3</v>
      </c>
      <c r="AO127" s="45">
        <f t="shared" si="19"/>
        <v>-8.7149224371903093E-4</v>
      </c>
      <c r="AP127" s="45">
        <f t="shared" si="19"/>
        <v>-3.9044013251301476E-4</v>
      </c>
      <c r="AQ127" s="45">
        <f t="shared" si="19"/>
        <v>-8.0656744782171548E-4</v>
      </c>
      <c r="AR127" s="45">
        <f t="shared" si="19"/>
        <v>-1.0882050661991415E-3</v>
      </c>
      <c r="AS127" s="45">
        <f t="shared" si="19"/>
        <v>-2.4204702627939148E-3</v>
      </c>
      <c r="AT127" s="45">
        <f t="shared" si="19"/>
        <v>0</v>
      </c>
    </row>
    <row r="128" spans="2:46" x14ac:dyDescent="0.3">
      <c r="B128" s="45">
        <f t="shared" ref="B128:AT128" si="20">B77-B26</f>
        <v>-1.2391844708317838E-4</v>
      </c>
      <c r="C128" s="45">
        <f t="shared" si="20"/>
        <v>0</v>
      </c>
      <c r="D128" s="45">
        <f t="shared" si="20"/>
        <v>0</v>
      </c>
      <c r="E128" s="45">
        <f t="shared" si="20"/>
        <v>-2.5258903763576658E-4</v>
      </c>
      <c r="F128" s="45">
        <f t="shared" si="20"/>
        <v>0</v>
      </c>
      <c r="G128" s="45">
        <f t="shared" si="20"/>
        <v>-1.1662447604739069E-4</v>
      </c>
      <c r="H128" s="45">
        <f t="shared" si="20"/>
        <v>-1.3450502152080344E-4</v>
      </c>
      <c r="I128" s="45">
        <f t="shared" si="20"/>
        <v>-1.3258203513423931E-4</v>
      </c>
      <c r="J128" s="45">
        <f t="shared" si="20"/>
        <v>-6.7344602330123235E-5</v>
      </c>
      <c r="K128" s="45">
        <f t="shared" si="20"/>
        <v>-2.0793911542700295E-5</v>
      </c>
      <c r="L128" s="45">
        <f t="shared" si="20"/>
        <v>-3.6619976197015465E-5</v>
      </c>
      <c r="M128" s="45">
        <f t="shared" si="20"/>
        <v>-2.8388928317955994E-5</v>
      </c>
      <c r="N128" s="45">
        <f t="shared" si="20"/>
        <v>-9.5396180336939284E-4</v>
      </c>
      <c r="O128" s="45">
        <f t="shared" si="20"/>
        <v>-7.1870058933448346E-5</v>
      </c>
      <c r="P128" s="45">
        <f t="shared" si="20"/>
        <v>-1.6409266409266401E-2</v>
      </c>
      <c r="Q128" s="45">
        <f t="shared" si="20"/>
        <v>-1.3120561560034768E-4</v>
      </c>
      <c r="R128" s="45">
        <f t="shared" si="20"/>
        <v>-1.9368669416430797E-4</v>
      </c>
      <c r="S128" s="45">
        <f t="shared" si="20"/>
        <v>-2.9703211355391625E-3</v>
      </c>
      <c r="T128" s="45">
        <f t="shared" si="20"/>
        <v>-6.9903646325335375E-4</v>
      </c>
      <c r="U128" s="45">
        <f t="shared" si="20"/>
        <v>-4.6245953479070567E-4</v>
      </c>
      <c r="V128" s="45">
        <f t="shared" si="20"/>
        <v>0.77234197142165173</v>
      </c>
      <c r="W128" s="45">
        <f t="shared" si="20"/>
        <v>-8.727541505571982E-3</v>
      </c>
      <c r="X128" s="45">
        <f t="shared" si="20"/>
        <v>-6.2632441516957739E-5</v>
      </c>
      <c r="Y128" s="45">
        <f t="shared" si="20"/>
        <v>-1.3152270410679643E-4</v>
      </c>
      <c r="Z128" s="45">
        <f t="shared" si="20"/>
        <v>-5.6331227618396183E-4</v>
      </c>
      <c r="AA128" s="45">
        <f t="shared" si="20"/>
        <v>-9.9043193837312373E-4</v>
      </c>
      <c r="AB128" s="45">
        <f t="shared" si="20"/>
        <v>-1.4788317229388781E-3</v>
      </c>
      <c r="AC128" s="45">
        <f t="shared" si="20"/>
        <v>-7.7669902912621332E-4</v>
      </c>
      <c r="AD128" s="45">
        <f t="shared" si="20"/>
        <v>-1.1631513647642679E-3</v>
      </c>
      <c r="AE128" s="45">
        <f t="shared" si="20"/>
        <v>-4.74606522797339E-3</v>
      </c>
      <c r="AF128" s="45">
        <f t="shared" si="20"/>
        <v>-1.6505735743170755E-4</v>
      </c>
      <c r="AG128" s="45">
        <f t="shared" si="20"/>
        <v>-3.1005829095870021E-5</v>
      </c>
      <c r="AH128" s="45">
        <f t="shared" si="20"/>
        <v>-2.8366380166226989E-5</v>
      </c>
      <c r="AI128" s="45">
        <f t="shared" si="20"/>
        <v>-1.8774406728747379E-5</v>
      </c>
      <c r="AJ128" s="45">
        <f t="shared" si="20"/>
        <v>-1.6155523842860601E-4</v>
      </c>
      <c r="AK128" s="45">
        <f t="shared" si="20"/>
        <v>-8.7716220483491821E-6</v>
      </c>
      <c r="AL128" s="45">
        <f t="shared" si="20"/>
        <v>-4.1115522871978003E-5</v>
      </c>
      <c r="AM128" s="45">
        <f t="shared" si="20"/>
        <v>-8.6749420356145785E-5</v>
      </c>
      <c r="AN128" s="45">
        <f t="shared" si="20"/>
        <v>-3.1695927790676448E-3</v>
      </c>
      <c r="AO128" s="45">
        <f t="shared" si="20"/>
        <v>-6.5361918278927322E-4</v>
      </c>
      <c r="AP128" s="45">
        <f t="shared" si="20"/>
        <v>-8.2820634169427363E-5</v>
      </c>
      <c r="AQ128" s="45">
        <f t="shared" si="20"/>
        <v>-1.546841680753975E-4</v>
      </c>
      <c r="AR128" s="45">
        <f t="shared" si="20"/>
        <v>-2.1159542953872194E-4</v>
      </c>
      <c r="AS128" s="45">
        <f t="shared" si="20"/>
        <v>-1.9758940920766653E-4</v>
      </c>
      <c r="AT128" s="45">
        <f t="shared" si="20"/>
        <v>0</v>
      </c>
    </row>
    <row r="129" spans="2:46" x14ac:dyDescent="0.3">
      <c r="B129" s="45">
        <f t="shared" ref="B129:AT129" si="21">B78-B27</f>
        <v>-8.4556116833227606E-4</v>
      </c>
      <c r="C129" s="45">
        <f t="shared" si="21"/>
        <v>-1.6474464579901158E-3</v>
      </c>
      <c r="D129" s="45">
        <f t="shared" si="21"/>
        <v>-1.1783189316574919E-3</v>
      </c>
      <c r="E129" s="45">
        <f t="shared" si="21"/>
        <v>-4.5466026774437984E-3</v>
      </c>
      <c r="F129" s="45">
        <f t="shared" si="21"/>
        <v>-3.7756202804746495E-3</v>
      </c>
      <c r="G129" s="45">
        <f t="shared" si="21"/>
        <v>-2.0992405688530324E-3</v>
      </c>
      <c r="H129" s="45">
        <f t="shared" si="21"/>
        <v>-2.9277259684361547E-2</v>
      </c>
      <c r="I129" s="45">
        <f t="shared" si="21"/>
        <v>-8.087504143188597E-3</v>
      </c>
      <c r="J129" s="45">
        <f t="shared" si="21"/>
        <v>-4.2427099467977642E-3</v>
      </c>
      <c r="K129" s="45">
        <f t="shared" si="21"/>
        <v>-6.0614252146971356E-3</v>
      </c>
      <c r="L129" s="45">
        <f t="shared" si="21"/>
        <v>-5.5479263938478423E-3</v>
      </c>
      <c r="M129" s="45">
        <f t="shared" si="21"/>
        <v>-4.3151171043293111E-3</v>
      </c>
      <c r="N129" s="45">
        <f t="shared" si="21"/>
        <v>-6.6968118596531382E-3</v>
      </c>
      <c r="O129" s="45">
        <f t="shared" si="21"/>
        <v>-2.5394087489818413E-3</v>
      </c>
      <c r="P129" s="45">
        <f t="shared" si="21"/>
        <v>-2.4970622796709743E-3</v>
      </c>
      <c r="Q129" s="45">
        <f t="shared" si="21"/>
        <v>-4.0181719777606477E-3</v>
      </c>
      <c r="R129" s="45">
        <f t="shared" si="21"/>
        <v>-6.4752983435385682E-3</v>
      </c>
      <c r="S129" s="45">
        <f t="shared" si="21"/>
        <v>-4.0415844958975496E-3</v>
      </c>
      <c r="T129" s="45">
        <f t="shared" si="21"/>
        <v>-1.0995654638201402E-2</v>
      </c>
      <c r="U129" s="45">
        <f t="shared" si="21"/>
        <v>-6.728577916099006E-3</v>
      </c>
      <c r="V129" s="45">
        <f t="shared" si="21"/>
        <v>-3.5117461855170748E-3</v>
      </c>
      <c r="W129" s="45">
        <f t="shared" si="21"/>
        <v>0.96068342051398681</v>
      </c>
      <c r="X129" s="45">
        <f t="shared" si="21"/>
        <v>-1.2369907199599154E-2</v>
      </c>
      <c r="Y129" s="45">
        <f t="shared" si="21"/>
        <v>-3.2223062506165127E-3</v>
      </c>
      <c r="Z129" s="45">
        <f t="shared" si="21"/>
        <v>-5.0928028234590826E-3</v>
      </c>
      <c r="AA129" s="45">
        <f t="shared" si="21"/>
        <v>-1.8830434383884083E-3</v>
      </c>
      <c r="AB129" s="45">
        <f t="shared" si="21"/>
        <v>-1.0871411584847968E-2</v>
      </c>
      <c r="AC129" s="45">
        <f t="shared" si="21"/>
        <v>-8.1553398058252392E-3</v>
      </c>
      <c r="AD129" s="45">
        <f t="shared" si="21"/>
        <v>-9.3827543424317601E-3</v>
      </c>
      <c r="AE129" s="45">
        <f t="shared" si="21"/>
        <v>-1.4136784033749799E-2</v>
      </c>
      <c r="AF129" s="45">
        <f t="shared" si="21"/>
        <v>-1.2379301807378066E-3</v>
      </c>
      <c r="AG129" s="45">
        <f t="shared" si="21"/>
        <v>-8.8366612923229562E-4</v>
      </c>
      <c r="AH129" s="45">
        <f t="shared" si="21"/>
        <v>-1.2764871074802144E-3</v>
      </c>
      <c r="AI129" s="45">
        <f t="shared" si="21"/>
        <v>-3.7548813457494753E-3</v>
      </c>
      <c r="AJ129" s="45">
        <f t="shared" si="21"/>
        <v>-1.5078488920003226E-3</v>
      </c>
      <c r="AK129" s="45">
        <f t="shared" si="21"/>
        <v>-2.7542893231816425E-3</v>
      </c>
      <c r="AL129" s="45">
        <f t="shared" si="21"/>
        <v>-1.7620938373704861E-3</v>
      </c>
      <c r="AM129" s="45">
        <f t="shared" si="21"/>
        <v>-2.034668222898692E-3</v>
      </c>
      <c r="AN129" s="45">
        <f t="shared" si="21"/>
        <v>-1.9826259358777035E-3</v>
      </c>
      <c r="AO129" s="45">
        <f t="shared" si="21"/>
        <v>-1.9172829361818681E-3</v>
      </c>
      <c r="AP129" s="45">
        <f t="shared" si="21"/>
        <v>-2.5674396592522486E-3</v>
      </c>
      <c r="AQ129" s="45">
        <f t="shared" si="21"/>
        <v>-2.2340813417746696E-2</v>
      </c>
      <c r="AR129" s="45">
        <f t="shared" si="21"/>
        <v>-2.5996009914757267E-3</v>
      </c>
      <c r="AS129" s="45">
        <f t="shared" si="21"/>
        <v>-2.0005927682276233E-3</v>
      </c>
      <c r="AT129" s="45">
        <f t="shared" si="21"/>
        <v>0</v>
      </c>
    </row>
    <row r="130" spans="2:46" x14ac:dyDescent="0.3">
      <c r="B130" s="45">
        <f t="shared" ref="B130:AT130" si="22">B79-B28</f>
        <v>-1.9673875804558733E-2</v>
      </c>
      <c r="C130" s="45">
        <f t="shared" si="22"/>
        <v>-2.9654036243822082E-2</v>
      </c>
      <c r="D130" s="45">
        <f t="shared" si="22"/>
        <v>-9.4265514532599348E-3</v>
      </c>
      <c r="E130" s="45">
        <f t="shared" si="22"/>
        <v>-3.2331396817378122E-2</v>
      </c>
      <c r="F130" s="45">
        <f t="shared" si="22"/>
        <v>-9.1693635382955781E-3</v>
      </c>
      <c r="G130" s="45">
        <f t="shared" si="22"/>
        <v>-2.1561807542173468E-2</v>
      </c>
      <c r="H130" s="45">
        <f t="shared" si="22"/>
        <v>-1.2015781922525108E-2</v>
      </c>
      <c r="I130" s="45">
        <f t="shared" si="22"/>
        <v>-2.6317533974146504E-2</v>
      </c>
      <c r="J130" s="45">
        <f t="shared" si="22"/>
        <v>-4.2965856286618621E-2</v>
      </c>
      <c r="K130" s="45">
        <f t="shared" si="22"/>
        <v>-2.8206941007672952E-2</v>
      </c>
      <c r="L130" s="45">
        <f t="shared" si="22"/>
        <v>-7.4979401263389159E-2</v>
      </c>
      <c r="M130" s="45">
        <f t="shared" si="22"/>
        <v>-2.5266146202980833E-2</v>
      </c>
      <c r="N130" s="45">
        <f t="shared" si="22"/>
        <v>-2.5432621677828015E-2</v>
      </c>
      <c r="O130" s="45">
        <f t="shared" si="22"/>
        <v>-6.0754156485074998E-2</v>
      </c>
      <c r="P130" s="45">
        <f t="shared" si="22"/>
        <v>-5.7474399865704184E-2</v>
      </c>
      <c r="Q130" s="45">
        <f t="shared" si="22"/>
        <v>-1.3136962261984809E-2</v>
      </c>
      <c r="R130" s="45">
        <f t="shared" si="22"/>
        <v>-6.9375052273397573E-3</v>
      </c>
      <c r="S130" s="45">
        <f t="shared" si="22"/>
        <v>-1.0091787792467072E-2</v>
      </c>
      <c r="T130" s="45">
        <f t="shared" si="22"/>
        <v>-1.5397695068959008E-2</v>
      </c>
      <c r="U130" s="45">
        <f t="shared" si="22"/>
        <v>-1.1194853783627263E-2</v>
      </c>
      <c r="V130" s="45">
        <f t="shared" si="22"/>
        <v>-1.7558730927585375E-2</v>
      </c>
      <c r="W130" s="45">
        <f t="shared" si="22"/>
        <v>-1.2679099385944964E-2</v>
      </c>
      <c r="X130" s="45">
        <f t="shared" si="22"/>
        <v>0.94287921333653457</v>
      </c>
      <c r="Y130" s="45">
        <f t="shared" si="22"/>
        <v>-6.010587577680597E-2</v>
      </c>
      <c r="Z130" s="45">
        <f t="shared" si="22"/>
        <v>-6.5758086117801255E-3</v>
      </c>
      <c r="AA130" s="45">
        <f t="shared" si="22"/>
        <v>-2.2303059945587383E-2</v>
      </c>
      <c r="AB130" s="45">
        <f t="shared" si="22"/>
        <v>-1.2879824938298742E-2</v>
      </c>
      <c r="AC130" s="45">
        <f t="shared" si="22"/>
        <v>-9.7087378640776656E-3</v>
      </c>
      <c r="AD130" s="45">
        <f t="shared" si="22"/>
        <v>-3.2568238213399503E-3</v>
      </c>
      <c r="AE130" s="45">
        <f t="shared" si="22"/>
        <v>-4.1680188220022722E-2</v>
      </c>
      <c r="AF130" s="45">
        <f t="shared" si="22"/>
        <v>-9.6558554097548911E-3</v>
      </c>
      <c r="AG130" s="45">
        <f t="shared" si="22"/>
        <v>-3.322274587622473E-2</v>
      </c>
      <c r="AH130" s="45">
        <f t="shared" si="22"/>
        <v>-7.6589226448812867E-3</v>
      </c>
      <c r="AI130" s="45">
        <f t="shared" si="22"/>
        <v>-1.5826824872334038E-2</v>
      </c>
      <c r="AJ130" s="45">
        <f t="shared" si="22"/>
        <v>-1.0204905894073612E-2</v>
      </c>
      <c r="AK130" s="45">
        <f t="shared" si="22"/>
        <v>-7.4032490088067095E-3</v>
      </c>
      <c r="AL130" s="45">
        <f t="shared" si="22"/>
        <v>-1.5565162230105961E-2</v>
      </c>
      <c r="AM130" s="45">
        <f t="shared" si="22"/>
        <v>-1.4518698443242216E-2</v>
      </c>
      <c r="AN130" s="45">
        <f t="shared" si="22"/>
        <v>-9.9131296793885191E-3</v>
      </c>
      <c r="AO130" s="45">
        <f t="shared" si="22"/>
        <v>-2.5211025621871965E-2</v>
      </c>
      <c r="AP130" s="45">
        <f t="shared" si="22"/>
        <v>-2.8454803596781833E-2</v>
      </c>
      <c r="AQ130" s="45">
        <f t="shared" si="22"/>
        <v>-2.2009347343299415E-2</v>
      </c>
      <c r="AR130" s="45">
        <f t="shared" si="22"/>
        <v>-4.5825524454386063E-2</v>
      </c>
      <c r="AS130" s="45">
        <f t="shared" si="22"/>
        <v>-2.0302311796087734E-2</v>
      </c>
      <c r="AT130" s="45">
        <f t="shared" si="22"/>
        <v>0</v>
      </c>
    </row>
    <row r="131" spans="2:46" x14ac:dyDescent="0.3">
      <c r="B131" s="45">
        <f t="shared" ref="B131:AT131" si="23">B80-B29</f>
        <v>-2.9740427299962814E-3</v>
      </c>
      <c r="C131" s="45">
        <f t="shared" si="23"/>
        <v>-3.2948929159802316E-3</v>
      </c>
      <c r="D131" s="45">
        <f t="shared" si="23"/>
        <v>-2.7494108405341474E-3</v>
      </c>
      <c r="E131" s="45">
        <f t="shared" si="23"/>
        <v>-4.7991917150795645E-3</v>
      </c>
      <c r="F131" s="45">
        <f t="shared" si="23"/>
        <v>-5.9331175836030217E-3</v>
      </c>
      <c r="G131" s="45">
        <f t="shared" si="23"/>
        <v>-4.8296253610213558E-3</v>
      </c>
      <c r="H131" s="45">
        <f t="shared" si="23"/>
        <v>-2.4659253945480629E-3</v>
      </c>
      <c r="I131" s="45">
        <f t="shared" si="23"/>
        <v>-1.1335764003977462E-2</v>
      </c>
      <c r="J131" s="45">
        <f t="shared" si="23"/>
        <v>-6.1283588120412142E-3</v>
      </c>
      <c r="K131" s="45">
        <f t="shared" si="23"/>
        <v>-3.8052858123141541E-3</v>
      </c>
      <c r="L131" s="45">
        <f t="shared" si="23"/>
        <v>-1.4135310812047969E-2</v>
      </c>
      <c r="M131" s="45">
        <f t="shared" si="23"/>
        <v>-8.9425124201561387E-3</v>
      </c>
      <c r="N131" s="45">
        <f t="shared" si="23"/>
        <v>-4.292828115162268E-3</v>
      </c>
      <c r="O131" s="45">
        <f t="shared" si="23"/>
        <v>-5.1267308705859813E-3</v>
      </c>
      <c r="P131" s="45">
        <f t="shared" si="23"/>
        <v>-3.4539197582675825E-2</v>
      </c>
      <c r="Q131" s="45">
        <f t="shared" si="23"/>
        <v>-1.9516835320551717E-3</v>
      </c>
      <c r="R131" s="45">
        <f t="shared" si="23"/>
        <v>-8.6718815341746967E-4</v>
      </c>
      <c r="S131" s="45">
        <f t="shared" si="23"/>
        <v>-1.2416916222335842E-3</v>
      </c>
      <c r="T131" s="45">
        <f t="shared" si="23"/>
        <v>-1.8515019837521262E-3</v>
      </c>
      <c r="U131" s="45">
        <f t="shared" si="23"/>
        <v>-1.4540394382158224E-3</v>
      </c>
      <c r="V131" s="45">
        <f t="shared" si="23"/>
        <v>-2.3007992249939454E-3</v>
      </c>
      <c r="W131" s="45">
        <f t="shared" si="23"/>
        <v>-2.160564020923357E-3</v>
      </c>
      <c r="X131" s="45">
        <f t="shared" si="23"/>
        <v>-3.7788239715231173E-3</v>
      </c>
      <c r="Y131" s="45">
        <f t="shared" si="23"/>
        <v>0.91289908920527407</v>
      </c>
      <c r="Z131" s="45">
        <f t="shared" si="23"/>
        <v>-3.2131792080289244E-3</v>
      </c>
      <c r="AA131" s="45">
        <f t="shared" si="23"/>
        <v>-5.7194387552349218E-3</v>
      </c>
      <c r="AB131" s="45">
        <f t="shared" si="23"/>
        <v>-1.5987369977717601E-3</v>
      </c>
      <c r="AC131" s="45">
        <f t="shared" si="23"/>
        <v>-5.0485436893203863E-3</v>
      </c>
      <c r="AD131" s="45">
        <f t="shared" si="23"/>
        <v>-9.3052109181141428E-4</v>
      </c>
      <c r="AE131" s="45">
        <f t="shared" si="23"/>
        <v>-2.0485153334415056E-3</v>
      </c>
      <c r="AF131" s="45">
        <f t="shared" si="23"/>
        <v>-1.3204588594536604E-3</v>
      </c>
      <c r="AG131" s="45">
        <f t="shared" si="23"/>
        <v>-7.1778494356939098E-3</v>
      </c>
      <c r="AH131" s="45">
        <f t="shared" si="23"/>
        <v>-1.3332198678126684E-3</v>
      </c>
      <c r="AI131" s="45">
        <f t="shared" si="23"/>
        <v>-1.2391108440973268E-3</v>
      </c>
      <c r="AJ131" s="45">
        <f t="shared" si="23"/>
        <v>-9.69331430571636E-4</v>
      </c>
      <c r="AK131" s="45">
        <f t="shared" si="23"/>
        <v>-2.0525595593137084E-3</v>
      </c>
      <c r="AL131" s="45">
        <f t="shared" si="23"/>
        <v>-4.5403284542912857E-3</v>
      </c>
      <c r="AM131" s="45">
        <f t="shared" si="23"/>
        <v>-1.9400324916010784E-3</v>
      </c>
      <c r="AN131" s="45">
        <f t="shared" si="23"/>
        <v>-4.1348185636396846E-3</v>
      </c>
      <c r="AO131" s="45">
        <f t="shared" si="23"/>
        <v>-6.6108911630686487E-3</v>
      </c>
      <c r="AP131" s="45">
        <f t="shared" si="23"/>
        <v>-5.513487931850451E-3</v>
      </c>
      <c r="AQ131" s="45">
        <f t="shared" si="23"/>
        <v>-8.5407758515915911E-3</v>
      </c>
      <c r="AR131" s="45">
        <f t="shared" si="23"/>
        <v>-1.290732120186204E-2</v>
      </c>
      <c r="AS131" s="45">
        <f t="shared" si="23"/>
        <v>-6.9156293222683279E-3</v>
      </c>
      <c r="AT131" s="45">
        <f t="shared" si="23"/>
        <v>0</v>
      </c>
    </row>
    <row r="132" spans="2:46" x14ac:dyDescent="0.3">
      <c r="B132" s="45">
        <f t="shared" ref="B132:AT132" si="24">B81-B30</f>
        <v>-1.7567262204144702E-3</v>
      </c>
      <c r="C132" s="45">
        <f t="shared" si="24"/>
        <v>-6.5897858319604631E-3</v>
      </c>
      <c r="D132" s="45">
        <f t="shared" si="24"/>
        <v>-2.7494108405341474E-3</v>
      </c>
      <c r="E132" s="45">
        <f t="shared" si="24"/>
        <v>-9.3457943925233621E-3</v>
      </c>
      <c r="F132" s="45">
        <f t="shared" si="24"/>
        <v>-5.9331175836030217E-3</v>
      </c>
      <c r="G132" s="45">
        <f t="shared" si="24"/>
        <v>-2.8538695315126193E-3</v>
      </c>
      <c r="H132" s="45">
        <f t="shared" si="24"/>
        <v>-2.152080344332855E-3</v>
      </c>
      <c r="I132" s="45">
        <f t="shared" si="24"/>
        <v>-3.5797149486244614E-3</v>
      </c>
      <c r="J132" s="45">
        <f t="shared" si="24"/>
        <v>-2.9631625025254228E-3</v>
      </c>
      <c r="K132" s="45">
        <f t="shared" si="24"/>
        <v>-3.7429040776860534E-3</v>
      </c>
      <c r="L132" s="45">
        <f t="shared" si="24"/>
        <v>-3.2774878696328834E-3</v>
      </c>
      <c r="M132" s="45">
        <f t="shared" si="24"/>
        <v>-2.2427253371185237E-3</v>
      </c>
      <c r="N132" s="45">
        <f t="shared" si="24"/>
        <v>-3.47242096426459E-3</v>
      </c>
      <c r="O132" s="45">
        <f t="shared" si="24"/>
        <v>-9.3191509750371344E-3</v>
      </c>
      <c r="P132" s="45">
        <f t="shared" si="24"/>
        <v>-2.7068994460298797E-3</v>
      </c>
      <c r="Q132" s="45">
        <f t="shared" si="24"/>
        <v>-5.0514162006133857E-3</v>
      </c>
      <c r="R132" s="45">
        <f t="shared" si="24"/>
        <v>-2.8788885905331229E-3</v>
      </c>
      <c r="S132" s="45">
        <f t="shared" si="24"/>
        <v>-2.6781584008959661E-3</v>
      </c>
      <c r="T132" s="45">
        <f t="shared" si="24"/>
        <v>-5.8001133572643136E-3</v>
      </c>
      <c r="U132" s="45">
        <f t="shared" si="24"/>
        <v>-4.3287878977256149E-3</v>
      </c>
      <c r="V132" s="45">
        <f t="shared" si="24"/>
        <v>-3.7539355776217008E-3</v>
      </c>
      <c r="W132" s="45">
        <f t="shared" si="24"/>
        <v>-3.9515578803729825E-3</v>
      </c>
      <c r="X132" s="45">
        <f t="shared" si="24"/>
        <v>-1.364343351044396E-2</v>
      </c>
      <c r="Y132" s="45">
        <f t="shared" si="24"/>
        <v>-1.693354815375004E-2</v>
      </c>
      <c r="Z132" s="45">
        <f t="shared" si="24"/>
        <v>0.96479298273850245</v>
      </c>
      <c r="AA132" s="45">
        <f t="shared" si="24"/>
        <v>-3.9128175343135759E-3</v>
      </c>
      <c r="AB132" s="45">
        <f t="shared" si="24"/>
        <v>-3.2474345267238876E-3</v>
      </c>
      <c r="AC132" s="45">
        <f t="shared" si="24"/>
        <v>-5.8252427184465995E-3</v>
      </c>
      <c r="AD132" s="45">
        <f t="shared" si="24"/>
        <v>-3.0241935483870963E-3</v>
      </c>
      <c r="AE132" s="45">
        <f t="shared" si="24"/>
        <v>-4.0666071718319007E-2</v>
      </c>
      <c r="AF132" s="45">
        <f t="shared" si="24"/>
        <v>-2.3933316827597592E-3</v>
      </c>
      <c r="AG132" s="45">
        <f t="shared" si="24"/>
        <v>-5.6120550663524742E-3</v>
      </c>
      <c r="AH132" s="45">
        <f t="shared" si="24"/>
        <v>-3.0068362976200603E-3</v>
      </c>
      <c r="AI132" s="45">
        <f t="shared" si="24"/>
        <v>-6.233103033944129E-3</v>
      </c>
      <c r="AJ132" s="45">
        <f t="shared" si="24"/>
        <v>-2.9618460378577766E-3</v>
      </c>
      <c r="AK132" s="45">
        <f t="shared" si="24"/>
        <v>-3.1665555594540544E-3</v>
      </c>
      <c r="AL132" s="45">
        <f t="shared" si="24"/>
        <v>-1.5623898691351643E-2</v>
      </c>
      <c r="AM132" s="45">
        <f t="shared" si="24"/>
        <v>-6.0961183577546074E-3</v>
      </c>
      <c r="AN132" s="45">
        <f t="shared" si="24"/>
        <v>-3.3913338376855458E-3</v>
      </c>
      <c r="AO132" s="45">
        <f t="shared" si="24"/>
        <v>-1.7884265830034114E-2</v>
      </c>
      <c r="AP132" s="45">
        <f t="shared" si="24"/>
        <v>-8.6843350686228137E-3</v>
      </c>
      <c r="AQ132" s="45">
        <f t="shared" si="24"/>
        <v>-4.9277956401162348E-3</v>
      </c>
      <c r="AR132" s="45">
        <f t="shared" si="24"/>
        <v>-1.1244785684057795E-2</v>
      </c>
      <c r="AS132" s="45">
        <f t="shared" si="24"/>
        <v>-7.3602054929855776E-3</v>
      </c>
      <c r="AT132" s="45">
        <f t="shared" si="24"/>
        <v>0</v>
      </c>
    </row>
    <row r="133" spans="2:46" x14ac:dyDescent="0.3">
      <c r="B133" s="45">
        <f t="shared" ref="B133:AT133" si="25">B82-B31</f>
        <v>-8.6633573151975007E-2</v>
      </c>
      <c r="C133" s="45">
        <f t="shared" si="25"/>
        <v>-7.7429983525535442E-2</v>
      </c>
      <c r="D133" s="45">
        <f t="shared" si="25"/>
        <v>-6.2843676355066228E-2</v>
      </c>
      <c r="E133" s="45">
        <f t="shared" si="25"/>
        <v>-5.3043697903510975E-2</v>
      </c>
      <c r="F133" s="45">
        <f t="shared" si="25"/>
        <v>-4.4228694714131607E-2</v>
      </c>
      <c r="G133" s="45">
        <f t="shared" si="25"/>
        <v>-0.10931143537288961</v>
      </c>
      <c r="H133" s="45">
        <f t="shared" si="25"/>
        <v>-0.1567880200860832</v>
      </c>
      <c r="I133" s="45">
        <f t="shared" si="25"/>
        <v>-9.0288365926416966E-2</v>
      </c>
      <c r="J133" s="45">
        <f t="shared" si="25"/>
        <v>-9.3373291130715866E-2</v>
      </c>
      <c r="K133" s="45">
        <f t="shared" si="25"/>
        <v>-0.10191096047077415</v>
      </c>
      <c r="L133" s="45">
        <f t="shared" si="25"/>
        <v>-0.11434587567518077</v>
      </c>
      <c r="M133" s="45">
        <f t="shared" si="25"/>
        <v>-8.1022001419446404E-2</v>
      </c>
      <c r="N133" s="45">
        <f t="shared" si="25"/>
        <v>-0.1107740446072539</v>
      </c>
      <c r="O133" s="45">
        <f t="shared" si="25"/>
        <v>-7.5535431939054209E-2</v>
      </c>
      <c r="P133" s="45">
        <f t="shared" si="25"/>
        <v>-7.4387275474231962E-2</v>
      </c>
      <c r="Q133" s="45">
        <f t="shared" si="25"/>
        <v>-6.3552720056418405E-2</v>
      </c>
      <c r="R133" s="45">
        <f t="shared" si="25"/>
        <v>-0.11382614858410627</v>
      </c>
      <c r="S133" s="45">
        <f t="shared" si="25"/>
        <v>-9.6766732403281971E-2</v>
      </c>
      <c r="T133" s="45">
        <f t="shared" si="25"/>
        <v>-7.4759115813338398E-2</v>
      </c>
      <c r="U133" s="45">
        <f t="shared" si="25"/>
        <v>-9.4300082076151648E-2</v>
      </c>
      <c r="V133" s="45">
        <f t="shared" si="25"/>
        <v>-6.2363768466941159E-2</v>
      </c>
      <c r="W133" s="45">
        <f t="shared" si="25"/>
        <v>-8.9691835342278842E-2</v>
      </c>
      <c r="X133" s="45">
        <f t="shared" si="25"/>
        <v>-6.1578128751422281E-2</v>
      </c>
      <c r="Y133" s="45">
        <f t="shared" si="25"/>
        <v>-3.2979318054779203E-2</v>
      </c>
      <c r="Z133" s="45">
        <f t="shared" si="25"/>
        <v>-6.1148122388214127E-2</v>
      </c>
      <c r="AA133" s="45">
        <f t="shared" si="25"/>
        <v>0.93533763335676945</v>
      </c>
      <c r="AB133" s="45">
        <f t="shared" si="25"/>
        <v>-6.827606191109023E-2</v>
      </c>
      <c r="AC133" s="45">
        <f t="shared" si="25"/>
        <v>-9.3592233009708703E-2</v>
      </c>
      <c r="AD133" s="45">
        <f t="shared" si="25"/>
        <v>-6.7230148883374682E-2</v>
      </c>
      <c r="AE133" s="45">
        <f t="shared" si="25"/>
        <v>-3.3891773486938184E-2</v>
      </c>
      <c r="AF133" s="45">
        <f t="shared" si="25"/>
        <v>-3.5569860526532979E-2</v>
      </c>
      <c r="AG133" s="45">
        <f t="shared" si="25"/>
        <v>-8.7777502170408042E-2</v>
      </c>
      <c r="AH133" s="45">
        <f t="shared" si="25"/>
        <v>-4.2521203869174254E-2</v>
      </c>
      <c r="AI133" s="45">
        <f t="shared" si="25"/>
        <v>-2.423775908681286E-2</v>
      </c>
      <c r="AJ133" s="45">
        <f t="shared" si="25"/>
        <v>-2.1513772584076035E-2</v>
      </c>
      <c r="AK133" s="45">
        <f t="shared" si="25"/>
        <v>-1.8709869829128804E-2</v>
      </c>
      <c r="AL133" s="45">
        <f t="shared" si="25"/>
        <v>-2.1186241571317811E-2</v>
      </c>
      <c r="AM133" s="45">
        <f t="shared" si="25"/>
        <v>-2.7365498966893258E-2</v>
      </c>
      <c r="AN133" s="45">
        <f t="shared" si="25"/>
        <v>-4.1622101061748372E-2</v>
      </c>
      <c r="AO133" s="45">
        <f t="shared" si="25"/>
        <v>-1.2039042852518613E-2</v>
      </c>
      <c r="AP133" s="45">
        <f t="shared" si="25"/>
        <v>-1.4138665404637958E-2</v>
      </c>
      <c r="AQ133" s="45">
        <f t="shared" si="25"/>
        <v>-5.0537527484062011E-2</v>
      </c>
      <c r="AR133" s="45">
        <f t="shared" si="25"/>
        <v>-3.1920681941841479E-2</v>
      </c>
      <c r="AS133" s="45">
        <f t="shared" si="25"/>
        <v>-3.2528156490812095E-2</v>
      </c>
      <c r="AT133" s="45">
        <f t="shared" si="25"/>
        <v>0</v>
      </c>
    </row>
    <row r="134" spans="2:46" x14ac:dyDescent="0.3">
      <c r="B134" s="45">
        <f t="shared" ref="B134:AT134" si="26">B83-B32</f>
        <v>-1.3317588401233349E-2</v>
      </c>
      <c r="C134" s="45">
        <f t="shared" si="26"/>
        <v>-2.1416803953871504E-2</v>
      </c>
      <c r="D134" s="45">
        <f t="shared" si="26"/>
        <v>-6.8342498036134527E-2</v>
      </c>
      <c r="E134" s="45">
        <f t="shared" si="26"/>
        <v>-8.4869916645617563E-2</v>
      </c>
      <c r="F134" s="45">
        <f t="shared" si="26"/>
        <v>-4.8004314994606265E-2</v>
      </c>
      <c r="G134" s="45">
        <f t="shared" si="26"/>
        <v>-2.4086384435434632E-2</v>
      </c>
      <c r="H134" s="45">
        <f t="shared" si="26"/>
        <v>-1.6050932568149209E-2</v>
      </c>
      <c r="I134" s="45">
        <f t="shared" si="26"/>
        <v>-1.7169373549883991E-2</v>
      </c>
      <c r="J134" s="45">
        <f t="shared" si="26"/>
        <v>-1.9799313085056232E-2</v>
      </c>
      <c r="K134" s="45">
        <f t="shared" si="26"/>
        <v>-2.2301470129546069E-2</v>
      </c>
      <c r="L134" s="45">
        <f t="shared" si="26"/>
        <v>-1.8676187860477884E-2</v>
      </c>
      <c r="M134" s="45">
        <f t="shared" si="26"/>
        <v>-7.7785663591199419E-3</v>
      </c>
      <c r="N134" s="45">
        <f t="shared" si="26"/>
        <v>-1.7381184057390336E-2</v>
      </c>
      <c r="O134" s="45">
        <f t="shared" si="26"/>
        <v>-4.1780460926644641E-2</v>
      </c>
      <c r="P134" s="45">
        <f t="shared" si="26"/>
        <v>-1.9766661071008888E-2</v>
      </c>
      <c r="Q134" s="45">
        <f t="shared" si="26"/>
        <v>-1.6843520902694632E-2</v>
      </c>
      <c r="R134" s="45">
        <f t="shared" si="26"/>
        <v>-1.7260125632232989E-2</v>
      </c>
      <c r="S134" s="45">
        <f t="shared" si="26"/>
        <v>-1.5582012514303804E-2</v>
      </c>
      <c r="T134" s="45">
        <f t="shared" si="26"/>
        <v>-2.0007557150954099E-2</v>
      </c>
      <c r="U134" s="45">
        <f t="shared" si="26"/>
        <v>-1.4223755421400624E-2</v>
      </c>
      <c r="V134" s="45">
        <f t="shared" si="26"/>
        <v>-1.2714943085492859E-2</v>
      </c>
      <c r="W134" s="45">
        <f t="shared" si="26"/>
        <v>-1.5493518307937233E-2</v>
      </c>
      <c r="X134" s="45">
        <f t="shared" si="26"/>
        <v>-4.2642253932795394E-2</v>
      </c>
      <c r="Y134" s="45">
        <f t="shared" si="26"/>
        <v>-1.6308815309242757E-2</v>
      </c>
      <c r="Z134" s="45">
        <f t="shared" si="26"/>
        <v>-2.4187939369205214E-2</v>
      </c>
      <c r="AA134" s="45">
        <f t="shared" si="26"/>
        <v>-3.9788463302051172E-2</v>
      </c>
      <c r="AB134" s="45">
        <f t="shared" si="26"/>
        <v>0.98216409036860886</v>
      </c>
      <c r="AC134" s="45">
        <f t="shared" si="26"/>
        <v>-2.8737864077669893E-2</v>
      </c>
      <c r="AD134" s="45">
        <f t="shared" si="26"/>
        <v>-1.698200992555831E-2</v>
      </c>
      <c r="AE134" s="45">
        <f t="shared" si="26"/>
        <v>-8.2346259938341718E-3</v>
      </c>
      <c r="AF134" s="45">
        <f t="shared" si="26"/>
        <v>-1.7248493851613436E-2</v>
      </c>
      <c r="AG134" s="45">
        <f t="shared" si="26"/>
        <v>-9.6893215924593809E-3</v>
      </c>
      <c r="AH134" s="45">
        <f t="shared" si="26"/>
        <v>-7.176694182055428E-3</v>
      </c>
      <c r="AI134" s="45">
        <f t="shared" si="26"/>
        <v>-7.3220186242114764E-3</v>
      </c>
      <c r="AJ134" s="45">
        <f t="shared" si="26"/>
        <v>-4.6851019144295734E-3</v>
      </c>
      <c r="AK134" s="45">
        <f t="shared" si="26"/>
        <v>-3.6665380162099574E-3</v>
      </c>
      <c r="AL134" s="45">
        <f t="shared" si="26"/>
        <v>-5.0572093132532948E-3</v>
      </c>
      <c r="AM134" s="45">
        <f t="shared" si="26"/>
        <v>-7.0030441160234044E-3</v>
      </c>
      <c r="AN134" s="45">
        <f t="shared" si="26"/>
        <v>-1.7400151305663532E-2</v>
      </c>
      <c r="AO134" s="45">
        <f t="shared" si="26"/>
        <v>-5.0173053459824203E-3</v>
      </c>
      <c r="AP134" s="45">
        <f t="shared" si="26"/>
        <v>-4.566966398485567E-3</v>
      </c>
      <c r="AQ134" s="45">
        <f t="shared" si="26"/>
        <v>-5.3587015368976995E-3</v>
      </c>
      <c r="AR134" s="45">
        <f t="shared" si="26"/>
        <v>-8.826552203615258E-3</v>
      </c>
      <c r="AS134" s="45">
        <f t="shared" si="26"/>
        <v>-1.1237897648686032E-2</v>
      </c>
      <c r="AT134" s="45">
        <f t="shared" si="26"/>
        <v>0</v>
      </c>
    </row>
    <row r="135" spans="2:46" x14ac:dyDescent="0.3">
      <c r="B135" s="45">
        <f t="shared" ref="B135:AT135" si="27">B84-B33</f>
        <v>-2.9157281666630211E-4</v>
      </c>
      <c r="C135" s="45">
        <f t="shared" si="27"/>
        <v>0</v>
      </c>
      <c r="D135" s="45">
        <f t="shared" si="27"/>
        <v>-7.8554595443832797E-4</v>
      </c>
      <c r="E135" s="45">
        <f t="shared" si="27"/>
        <v>-5.0517807527153315E-4</v>
      </c>
      <c r="F135" s="45">
        <f t="shared" si="27"/>
        <v>-5.3937432578209283E-4</v>
      </c>
      <c r="G135" s="45">
        <f t="shared" si="27"/>
        <v>-3.7045421803288812E-4</v>
      </c>
      <c r="H135" s="45">
        <f t="shared" si="27"/>
        <v>-5.8285509325681488E-4</v>
      </c>
      <c r="I135" s="45">
        <f t="shared" si="27"/>
        <v>-5.3032814053695723E-4</v>
      </c>
      <c r="J135" s="45">
        <f t="shared" si="27"/>
        <v>-4.0406761398073938E-4</v>
      </c>
      <c r="K135" s="45">
        <f t="shared" si="27"/>
        <v>-1.5075585868457714E-3</v>
      </c>
      <c r="L135" s="45">
        <f t="shared" si="27"/>
        <v>-6.9577954774329375E-4</v>
      </c>
      <c r="M135" s="45">
        <f t="shared" si="27"/>
        <v>-2.5550035486160395E-4</v>
      </c>
      <c r="N135" s="45">
        <f t="shared" si="27"/>
        <v>-5.1513937381947219E-4</v>
      </c>
      <c r="O135" s="45">
        <f t="shared" si="27"/>
        <v>-6.4683053040103509E-4</v>
      </c>
      <c r="P135" s="45">
        <f t="shared" si="27"/>
        <v>-8.393486654356216E-4</v>
      </c>
      <c r="Q135" s="45">
        <f t="shared" si="27"/>
        <v>-4.4281895265117343E-4</v>
      </c>
      <c r="R135" s="45">
        <f t="shared" si="27"/>
        <v>-7.2192313279423868E-4</v>
      </c>
      <c r="S135" s="45">
        <f t="shared" si="27"/>
        <v>-7.3040683660799074E-4</v>
      </c>
      <c r="T135" s="45">
        <f t="shared" si="27"/>
        <v>-4.7232193463064441E-4</v>
      </c>
      <c r="U135" s="45">
        <f t="shared" si="27"/>
        <v>-7.2077026593506382E-4</v>
      </c>
      <c r="V135" s="45">
        <f t="shared" si="27"/>
        <v>-1.2109469605231294E-3</v>
      </c>
      <c r="W135" s="45">
        <f t="shared" si="27"/>
        <v>-4.2642710939276785E-4</v>
      </c>
      <c r="X135" s="45">
        <f t="shared" si="27"/>
        <v>-5.0105953213566191E-4</v>
      </c>
      <c r="Y135" s="45">
        <f t="shared" si="27"/>
        <v>-1.6440338013349554E-4</v>
      </c>
      <c r="Z135" s="45">
        <f t="shared" si="27"/>
        <v>-3.9086974265825918E-4</v>
      </c>
      <c r="AA135" s="45">
        <f t="shared" si="27"/>
        <v>-5.2884174487206924E-4</v>
      </c>
      <c r="AB135" s="45">
        <f t="shared" si="27"/>
        <v>-5.9952637416441003E-4</v>
      </c>
      <c r="AC135" s="45">
        <f t="shared" si="27"/>
        <v>0.99728155339805824</v>
      </c>
      <c r="AD135" s="45">
        <f t="shared" si="27"/>
        <v>-1.1631513647642679E-3</v>
      </c>
      <c r="AE135" s="45">
        <f t="shared" si="27"/>
        <v>-9.5326951160149291E-4</v>
      </c>
      <c r="AF135" s="45">
        <f t="shared" si="27"/>
        <v>-8.2528678715853776E-5</v>
      </c>
      <c r="AG135" s="45">
        <f t="shared" si="27"/>
        <v>-2.3254371821902515E-4</v>
      </c>
      <c r="AH135" s="45">
        <f t="shared" si="27"/>
        <v>-8.509914049868096E-5</v>
      </c>
      <c r="AI135" s="45">
        <f t="shared" si="27"/>
        <v>-7.5097626914989515E-5</v>
      </c>
      <c r="AJ135" s="45">
        <f t="shared" si="27"/>
        <v>-8.0777619214303004E-5</v>
      </c>
      <c r="AK135" s="45">
        <f t="shared" si="27"/>
        <v>-4.3858110241745907E-5</v>
      </c>
      <c r="AL135" s="45">
        <f t="shared" si="27"/>
        <v>-9.9851984117660874E-5</v>
      </c>
      <c r="AM135" s="45">
        <f t="shared" si="27"/>
        <v>-1.0252204223908137E-4</v>
      </c>
      <c r="AN135" s="45">
        <f t="shared" si="27"/>
        <v>-4.9565648396942587E-4</v>
      </c>
      <c r="AO135" s="45">
        <f t="shared" si="27"/>
        <v>-8.0924279773910012E-5</v>
      </c>
      <c r="AP135" s="45">
        <f t="shared" si="27"/>
        <v>-5.9157595835305265E-5</v>
      </c>
      <c r="AQ135" s="45">
        <f t="shared" si="27"/>
        <v>-1.6573303722364018E-4</v>
      </c>
      <c r="AR135" s="45">
        <f t="shared" si="27"/>
        <v>-2.4182334804425366E-4</v>
      </c>
      <c r="AS135" s="45">
        <f t="shared" si="27"/>
        <v>-1.2349338075479157E-4</v>
      </c>
      <c r="AT135" s="45">
        <f t="shared" si="27"/>
        <v>0</v>
      </c>
    </row>
    <row r="136" spans="2:46" x14ac:dyDescent="0.3">
      <c r="B136" s="45">
        <f t="shared" ref="B136:AT136" si="28">B85-B34</f>
        <v>-5.8314563333260422E-4</v>
      </c>
      <c r="C136" s="45">
        <f t="shared" si="28"/>
        <v>-1.6474464579901158E-3</v>
      </c>
      <c r="D136" s="45">
        <f t="shared" si="28"/>
        <v>-1.9638648860958196E-3</v>
      </c>
      <c r="E136" s="45">
        <f t="shared" si="28"/>
        <v>-7.5776711290729962E-4</v>
      </c>
      <c r="F136" s="45">
        <f t="shared" si="28"/>
        <v>-1.6181229773462784E-3</v>
      </c>
      <c r="G136" s="45">
        <f t="shared" si="28"/>
        <v>-9.6043686156674693E-4</v>
      </c>
      <c r="H136" s="45">
        <f t="shared" si="28"/>
        <v>-1.255380200860832E-3</v>
      </c>
      <c r="I136" s="45">
        <f t="shared" si="28"/>
        <v>-9.9436526350679482E-4</v>
      </c>
      <c r="J136" s="45">
        <f t="shared" si="28"/>
        <v>-9.7649673378678685E-4</v>
      </c>
      <c r="K136" s="45">
        <f t="shared" si="28"/>
        <v>-1.2788255598760682E-3</v>
      </c>
      <c r="L136" s="45">
        <f t="shared" si="28"/>
        <v>-1.0619793097134483E-3</v>
      </c>
      <c r="M136" s="45">
        <f t="shared" si="28"/>
        <v>-1.3626685592618877E-3</v>
      </c>
      <c r="N136" s="45">
        <f t="shared" si="28"/>
        <v>-1.3927842329193136E-3</v>
      </c>
      <c r="O136" s="45">
        <f t="shared" si="28"/>
        <v>-1.0540941976905757E-3</v>
      </c>
      <c r="P136" s="45">
        <f t="shared" si="28"/>
        <v>-1.1121369817021986E-3</v>
      </c>
      <c r="Q136" s="45">
        <f t="shared" si="28"/>
        <v>-1.213651944303216E-3</v>
      </c>
      <c r="R136" s="45">
        <f t="shared" si="28"/>
        <v>-2.1481615170950517E-3</v>
      </c>
      <c r="S136" s="45">
        <f t="shared" si="28"/>
        <v>-1.8747108806271764E-3</v>
      </c>
      <c r="T136" s="45">
        <f t="shared" si="28"/>
        <v>-1.2847156621953527E-3</v>
      </c>
      <c r="U136" s="45">
        <f t="shared" si="28"/>
        <v>-1.029076622462201E-3</v>
      </c>
      <c r="V136" s="45">
        <f t="shared" si="28"/>
        <v>-1.5742310486800682E-3</v>
      </c>
      <c r="W136" s="45">
        <f t="shared" si="28"/>
        <v>-1.1939959062997501E-3</v>
      </c>
      <c r="X136" s="45">
        <f t="shared" si="28"/>
        <v>-1.0229965447769765E-3</v>
      </c>
      <c r="Y136" s="45">
        <f t="shared" si="28"/>
        <v>-6.2473284450728303E-4</v>
      </c>
      <c r="Z136" s="45">
        <f t="shared" si="28"/>
        <v>-1.0346552011542155E-3</v>
      </c>
      <c r="AA136" s="45">
        <f t="shared" si="28"/>
        <v>-1.1616177054993427E-3</v>
      </c>
      <c r="AB136" s="45">
        <f t="shared" si="28"/>
        <v>-1.5487764665913927E-3</v>
      </c>
      <c r="AC136" s="45">
        <f t="shared" si="28"/>
        <v>-7.7669902912621332E-4</v>
      </c>
      <c r="AD136" s="45">
        <f t="shared" si="28"/>
        <v>0.9838709677419355</v>
      </c>
      <c r="AE136" s="45">
        <f t="shared" si="28"/>
        <v>-1.2169398020444591E-3</v>
      </c>
      <c r="AF136" s="45">
        <f t="shared" si="28"/>
        <v>-2.3108030040439056E-3</v>
      </c>
      <c r="AG136" s="45">
        <f t="shared" si="28"/>
        <v>-9.4567778742403561E-4</v>
      </c>
      <c r="AH136" s="45">
        <f t="shared" si="28"/>
        <v>-7.0915950415567468E-4</v>
      </c>
      <c r="AI136" s="45">
        <f t="shared" si="28"/>
        <v>-3.7548813457494753E-4</v>
      </c>
      <c r="AJ136" s="45">
        <f t="shared" si="28"/>
        <v>-1.2655160343574138E-3</v>
      </c>
      <c r="AK136" s="45">
        <f t="shared" si="28"/>
        <v>-3.3332163783726887E-4</v>
      </c>
      <c r="AL136" s="45">
        <f t="shared" si="28"/>
        <v>-6.4022742757794326E-4</v>
      </c>
      <c r="AM136" s="45">
        <f t="shared" si="28"/>
        <v>-1.7823062727717223E-3</v>
      </c>
      <c r="AN136" s="45">
        <f t="shared" si="28"/>
        <v>-7.8131114183601618E-3</v>
      </c>
      <c r="AO136" s="45">
        <f t="shared" si="28"/>
        <v>-7.4699335175916937E-4</v>
      </c>
      <c r="AP136" s="45">
        <f t="shared" si="28"/>
        <v>-7.4538570752484632E-4</v>
      </c>
      <c r="AQ136" s="45">
        <f t="shared" si="28"/>
        <v>-4.8615024252267791E-4</v>
      </c>
      <c r="AR136" s="45">
        <f t="shared" si="28"/>
        <v>-9.6729339217701464E-4</v>
      </c>
      <c r="AS136" s="45">
        <f t="shared" si="28"/>
        <v>-7.6565896067970777E-4</v>
      </c>
      <c r="AT136" s="45">
        <f t="shared" si="28"/>
        <v>0</v>
      </c>
    </row>
    <row r="137" spans="2:46" x14ac:dyDescent="0.3">
      <c r="B137" s="45">
        <f t="shared" ref="B137:AT137" si="29">B86-B35</f>
        <v>-5.9699534212425357E-3</v>
      </c>
      <c r="C137" s="45">
        <f t="shared" si="29"/>
        <v>-8.237232289950578E-3</v>
      </c>
      <c r="D137" s="45">
        <f t="shared" si="29"/>
        <v>-5.8915946582874593E-3</v>
      </c>
      <c r="E137" s="45">
        <f t="shared" si="29"/>
        <v>-1.0861328618337961E-2</v>
      </c>
      <c r="F137" s="45">
        <f t="shared" si="29"/>
        <v>-4.3149946062567427E-3</v>
      </c>
      <c r="G137" s="45">
        <f t="shared" si="29"/>
        <v>-1.2046622349365767E-2</v>
      </c>
      <c r="H137" s="45">
        <f t="shared" si="29"/>
        <v>-4.5283357245337157E-3</v>
      </c>
      <c r="I137" s="45">
        <f t="shared" si="29"/>
        <v>-6.2313556513092479E-3</v>
      </c>
      <c r="J137" s="45">
        <f t="shared" si="29"/>
        <v>-5.9936696073809685E-3</v>
      </c>
      <c r="K137" s="45">
        <f t="shared" si="29"/>
        <v>-1.052171924060635E-2</v>
      </c>
      <c r="L137" s="45">
        <f t="shared" si="29"/>
        <v>-4.2296072507552861E-3</v>
      </c>
      <c r="M137" s="45">
        <f t="shared" si="29"/>
        <v>-2.3846699787083035E-3</v>
      </c>
      <c r="N137" s="45">
        <f t="shared" si="29"/>
        <v>-6.6777326235857503E-3</v>
      </c>
      <c r="O137" s="45">
        <f t="shared" si="29"/>
        <v>-1.4541708590867716E-2</v>
      </c>
      <c r="P137" s="45">
        <f t="shared" si="29"/>
        <v>-3.7560852778244064E-3</v>
      </c>
      <c r="Q137" s="45">
        <f t="shared" si="29"/>
        <v>-5.4122316435143416E-3</v>
      </c>
      <c r="R137" s="45">
        <f t="shared" si="29"/>
        <v>-7.1620057137574775E-3</v>
      </c>
      <c r="S137" s="45">
        <f t="shared" si="29"/>
        <v>-6.2571519002751208E-3</v>
      </c>
      <c r="T137" s="45">
        <f t="shared" si="29"/>
        <v>-4.4209333081428317E-3</v>
      </c>
      <c r="U137" s="45">
        <f t="shared" si="29"/>
        <v>-3.1413917948846137E-3</v>
      </c>
      <c r="V137" s="45">
        <f t="shared" si="29"/>
        <v>-4.3594090578832657E-3</v>
      </c>
      <c r="W137" s="45">
        <f t="shared" si="29"/>
        <v>-5.7994086877416421E-3</v>
      </c>
      <c r="X137" s="45">
        <f t="shared" si="29"/>
        <v>-1.3330271302859173E-2</v>
      </c>
      <c r="Y137" s="45">
        <f t="shared" si="29"/>
        <v>-7.4967941340873968E-3</v>
      </c>
      <c r="Z137" s="45">
        <f t="shared" si="29"/>
        <v>-1.0139620971311311E-2</v>
      </c>
      <c r="AA137" s="45">
        <f t="shared" si="29"/>
        <v>-1.9557973894170511E-2</v>
      </c>
      <c r="AB137" s="45">
        <f t="shared" si="29"/>
        <v>-0.12074461175671219</v>
      </c>
      <c r="AC137" s="45">
        <f t="shared" si="29"/>
        <v>-8.5436893203883452E-2</v>
      </c>
      <c r="AD137" s="45">
        <f t="shared" si="29"/>
        <v>-0.29094292803970218</v>
      </c>
      <c r="AE137" s="45">
        <f t="shared" si="29"/>
        <v>0.96399886418951808</v>
      </c>
      <c r="AF137" s="45">
        <f t="shared" si="29"/>
        <v>-1.1223900305356112E-2</v>
      </c>
      <c r="AG137" s="45">
        <f t="shared" si="29"/>
        <v>-3.5346645169291825E-3</v>
      </c>
      <c r="AH137" s="45">
        <f t="shared" si="29"/>
        <v>-4.0563923637704589E-3</v>
      </c>
      <c r="AI137" s="45">
        <f t="shared" si="29"/>
        <v>-3.7548813457494753E-3</v>
      </c>
      <c r="AJ137" s="45">
        <f t="shared" si="29"/>
        <v>-2.4502544495005243E-3</v>
      </c>
      <c r="AK137" s="45">
        <f t="shared" si="29"/>
        <v>-9.4733518122171157E-4</v>
      </c>
      <c r="AL137" s="45">
        <f t="shared" si="29"/>
        <v>-2.5080468951906585E-3</v>
      </c>
      <c r="AM137" s="45">
        <f t="shared" si="29"/>
        <v>-3.2255011750603291E-3</v>
      </c>
      <c r="AN137" s="45">
        <f t="shared" si="29"/>
        <v>-4.9696084313776649E-3</v>
      </c>
      <c r="AO137" s="45">
        <f t="shared" si="29"/>
        <v>-1.2499688752770102E-2</v>
      </c>
      <c r="AP137" s="45">
        <f t="shared" si="29"/>
        <v>-1.1358258400378611E-3</v>
      </c>
      <c r="AQ137" s="45">
        <f t="shared" si="29"/>
        <v>-1.4584507275680334E-3</v>
      </c>
      <c r="AR137" s="45">
        <f t="shared" si="29"/>
        <v>-3.8994014872135905E-3</v>
      </c>
      <c r="AS137" s="45">
        <f t="shared" si="29"/>
        <v>-6.8662319699664114E-3</v>
      </c>
      <c r="AT137" s="45">
        <f t="shared" si="29"/>
        <v>0</v>
      </c>
    </row>
    <row r="138" spans="2:46" x14ac:dyDescent="0.3">
      <c r="B138" s="45">
        <f t="shared" ref="B138:AT138" si="30">B87-B36</f>
        <v>-1.4214174812482228E-3</v>
      </c>
      <c r="C138" s="45">
        <f t="shared" si="30"/>
        <v>-1.6474464579901158E-3</v>
      </c>
      <c r="D138" s="45">
        <f t="shared" si="30"/>
        <v>-1.1783189316574919E-3</v>
      </c>
      <c r="E138" s="45">
        <f t="shared" si="30"/>
        <v>-1.5155342258145992E-3</v>
      </c>
      <c r="F138" s="45">
        <f t="shared" si="30"/>
        <v>-5.3937432578209283E-4</v>
      </c>
      <c r="G138" s="45">
        <f t="shared" si="30"/>
        <v>-1.3789129226779724E-3</v>
      </c>
      <c r="H138" s="45">
        <f t="shared" si="30"/>
        <v>-1.3450502152080343E-3</v>
      </c>
      <c r="I138" s="45">
        <f t="shared" si="30"/>
        <v>-1.1269472986410341E-3</v>
      </c>
      <c r="J138" s="45">
        <f t="shared" si="30"/>
        <v>-1.3468920466024647E-3</v>
      </c>
      <c r="K138" s="45">
        <f t="shared" si="30"/>
        <v>-5.61435611652908E-4</v>
      </c>
      <c r="L138" s="45">
        <f t="shared" si="30"/>
        <v>-1.354939119289572E-3</v>
      </c>
      <c r="M138" s="45">
        <f t="shared" si="30"/>
        <v>-2.4414478353442155E-3</v>
      </c>
      <c r="N138" s="45">
        <f t="shared" si="30"/>
        <v>-1.1829126361780472E-3</v>
      </c>
      <c r="O138" s="45">
        <f t="shared" si="30"/>
        <v>-1.2217910018686219E-3</v>
      </c>
      <c r="P138" s="45">
        <f t="shared" si="30"/>
        <v>-4.8262548262548237E-4</v>
      </c>
      <c r="Q138" s="45">
        <f t="shared" si="30"/>
        <v>-1.000442818952651E-3</v>
      </c>
      <c r="R138" s="45">
        <f t="shared" si="30"/>
        <v>-3.8737338832861595E-4</v>
      </c>
      <c r="S138" s="45">
        <f t="shared" si="30"/>
        <v>-7.9127407299198996E-4</v>
      </c>
      <c r="T138" s="45">
        <f t="shared" si="30"/>
        <v>-1.0580011335726434E-3</v>
      </c>
      <c r="U138" s="45">
        <f t="shared" si="30"/>
        <v>-5.2495406651917938E-4</v>
      </c>
      <c r="V138" s="45">
        <f t="shared" si="30"/>
        <v>-7.2656817631387759E-4</v>
      </c>
      <c r="W138" s="45">
        <f t="shared" si="30"/>
        <v>-1.3361382760973394E-3</v>
      </c>
      <c r="X138" s="45">
        <f t="shared" si="30"/>
        <v>-3.1316220758478871E-3</v>
      </c>
      <c r="Y138" s="45">
        <f t="shared" si="30"/>
        <v>-4.0772038273106893E-3</v>
      </c>
      <c r="Z138" s="45">
        <f t="shared" si="30"/>
        <v>-1.6382040684941744E-3</v>
      </c>
      <c r="AA138" s="45">
        <f t="shared" si="30"/>
        <v>-3.7416317671873571E-3</v>
      </c>
      <c r="AB138" s="45">
        <f t="shared" si="30"/>
        <v>-2.1682870532279495E-3</v>
      </c>
      <c r="AC138" s="45">
        <f t="shared" si="30"/>
        <v>-2.3300970873786396E-3</v>
      </c>
      <c r="AD138" s="45">
        <f t="shared" si="30"/>
        <v>-3.4119106699751862E-3</v>
      </c>
      <c r="AE138" s="45">
        <f t="shared" si="30"/>
        <v>-4.60408891773487E-3</v>
      </c>
      <c r="AF138" s="45">
        <f t="shared" si="30"/>
        <v>0.92861269291078652</v>
      </c>
      <c r="AG138" s="45">
        <f t="shared" si="30"/>
        <v>-2.4339575840257965E-3</v>
      </c>
      <c r="AH138" s="45">
        <f t="shared" si="30"/>
        <v>-1.5402944430261252E-2</v>
      </c>
      <c r="AI138" s="45">
        <f t="shared" si="30"/>
        <v>-1.1621357765094625E-2</v>
      </c>
      <c r="AJ138" s="45">
        <f t="shared" si="30"/>
        <v>-1.938662861143272E-3</v>
      </c>
      <c r="AK138" s="45">
        <f t="shared" si="30"/>
        <v>-1.9376513104803341E-2</v>
      </c>
      <c r="AL138" s="45">
        <f t="shared" si="30"/>
        <v>-4.0293212414538445E-3</v>
      </c>
      <c r="AM138" s="45">
        <f t="shared" si="30"/>
        <v>-3.7302250753142681E-3</v>
      </c>
      <c r="AN138" s="45">
        <f t="shared" si="30"/>
        <v>-3.626118487986853E-3</v>
      </c>
      <c r="AO138" s="45">
        <f t="shared" si="30"/>
        <v>-1.4043475013072383E-2</v>
      </c>
      <c r="AP138" s="45">
        <f t="shared" si="30"/>
        <v>-3.7150970184571704E-3</v>
      </c>
      <c r="AQ138" s="45">
        <f t="shared" si="30"/>
        <v>-4.4747920050382849E-3</v>
      </c>
      <c r="AR138" s="45">
        <f t="shared" si="30"/>
        <v>-9.4008826552203616E-3</v>
      </c>
      <c r="AS138" s="45">
        <f t="shared" si="30"/>
        <v>-5.6559968385694534E-3</v>
      </c>
      <c r="AT138" s="45">
        <f t="shared" si="30"/>
        <v>0</v>
      </c>
    </row>
    <row r="139" spans="2:46" x14ac:dyDescent="0.3">
      <c r="B139" s="45">
        <f t="shared" ref="B139:AT139" si="31">B88-B37</f>
        <v>-1.9681165124975394E-4</v>
      </c>
      <c r="C139" s="45">
        <f t="shared" si="31"/>
        <v>0</v>
      </c>
      <c r="D139" s="45">
        <f t="shared" si="31"/>
        <v>-3.9277297721916392E-3</v>
      </c>
      <c r="E139" s="45">
        <f t="shared" si="31"/>
        <v>-5.0517807527153315E-4</v>
      </c>
      <c r="F139" s="45">
        <f t="shared" si="31"/>
        <v>-1.0787486515641857E-3</v>
      </c>
      <c r="G139" s="45">
        <f t="shared" si="31"/>
        <v>-5.8312238023695351E-4</v>
      </c>
      <c r="H139" s="45">
        <f t="shared" si="31"/>
        <v>-5.8285509325681488E-4</v>
      </c>
      <c r="I139" s="45">
        <f t="shared" si="31"/>
        <v>-5.3032814053695723E-4</v>
      </c>
      <c r="J139" s="45">
        <f t="shared" si="31"/>
        <v>-5.7242911980604752E-4</v>
      </c>
      <c r="K139" s="45">
        <f t="shared" si="31"/>
        <v>-1.4555738079890206E-4</v>
      </c>
      <c r="L139" s="45">
        <f t="shared" si="31"/>
        <v>-3.8450975006866235E-4</v>
      </c>
      <c r="M139" s="45">
        <f t="shared" si="31"/>
        <v>-1.0220014194464158E-3</v>
      </c>
      <c r="N139" s="45">
        <f t="shared" si="31"/>
        <v>-6.4869402629118712E-4</v>
      </c>
      <c r="O139" s="45">
        <f t="shared" si="31"/>
        <v>-4.5517703991183948E-4</v>
      </c>
      <c r="P139" s="45">
        <f t="shared" si="31"/>
        <v>-4.8262548262548237E-4</v>
      </c>
      <c r="Q139" s="45">
        <f t="shared" si="31"/>
        <v>-6.7242877995178174E-4</v>
      </c>
      <c r="R139" s="45">
        <f t="shared" si="31"/>
        <v>-5.1943249798609866E-4</v>
      </c>
      <c r="S139" s="45">
        <f t="shared" si="31"/>
        <v>-6.938864947775913E-4</v>
      </c>
      <c r="T139" s="45">
        <f t="shared" si="31"/>
        <v>-9.824296240317405E-4</v>
      </c>
      <c r="U139" s="45">
        <f t="shared" si="31"/>
        <v>-4.4996062844501099E-4</v>
      </c>
      <c r="V139" s="45">
        <f t="shared" si="31"/>
        <v>-6.0547348026156471E-4</v>
      </c>
      <c r="W139" s="45">
        <f t="shared" si="31"/>
        <v>-6.5385490106891072E-4</v>
      </c>
      <c r="X139" s="45">
        <f t="shared" si="31"/>
        <v>-3.1316220758478868E-4</v>
      </c>
      <c r="Y139" s="45">
        <f t="shared" si="31"/>
        <v>-2.3016473218689373E-4</v>
      </c>
      <c r="Z139" s="45">
        <f t="shared" si="31"/>
        <v>-8.794569209810832E-4</v>
      </c>
      <c r="AA139" s="45">
        <f t="shared" si="31"/>
        <v>-1.6354354537951273E-3</v>
      </c>
      <c r="AB139" s="45">
        <f t="shared" si="31"/>
        <v>-9.5924219866305597E-4</v>
      </c>
      <c r="AC139" s="45">
        <f t="shared" si="31"/>
        <v>-3.8834951456310666E-4</v>
      </c>
      <c r="AD139" s="45">
        <f t="shared" si="31"/>
        <v>-1.7059553349875931E-3</v>
      </c>
      <c r="AE139" s="45">
        <f t="shared" si="31"/>
        <v>-1.7442803829303911E-3</v>
      </c>
      <c r="AF139" s="45">
        <f t="shared" si="31"/>
        <v>-1.402987538169514E-3</v>
      </c>
      <c r="AG139" s="45">
        <f t="shared" si="31"/>
        <v>0.96905618256232173</v>
      </c>
      <c r="AH139" s="45">
        <f t="shared" si="31"/>
        <v>-1.1062888264828524E-3</v>
      </c>
      <c r="AI139" s="45">
        <f t="shared" si="31"/>
        <v>-6.0078101531991612E-4</v>
      </c>
      <c r="AJ139" s="45">
        <f t="shared" si="31"/>
        <v>-2.8541425455720394E-3</v>
      </c>
      <c r="AK139" s="45">
        <f t="shared" si="31"/>
        <v>-1.7894108978632327E-3</v>
      </c>
      <c r="AL139" s="45">
        <f t="shared" si="31"/>
        <v>-5.5799638183398723E-4</v>
      </c>
      <c r="AM139" s="45">
        <f t="shared" si="31"/>
        <v>-4.2980394630999499E-3</v>
      </c>
      <c r="AN139" s="45">
        <f t="shared" si="31"/>
        <v>-2.6974147601283496E-2</v>
      </c>
      <c r="AO139" s="45">
        <f t="shared" si="31"/>
        <v>-5.3410024650780603E-3</v>
      </c>
      <c r="AP139" s="45">
        <f t="shared" si="31"/>
        <v>-3.2063416942735455E-3</v>
      </c>
      <c r="AQ139" s="45">
        <f t="shared" si="31"/>
        <v>-9.5130763366369463E-3</v>
      </c>
      <c r="AR139" s="45">
        <f t="shared" si="31"/>
        <v>-4.3830481833020971E-3</v>
      </c>
      <c r="AS139" s="45">
        <f t="shared" si="31"/>
        <v>-1.6572811697293025E-2</v>
      </c>
      <c r="AT139" s="45">
        <f t="shared" si="31"/>
        <v>0</v>
      </c>
    </row>
    <row r="140" spans="2:46" x14ac:dyDescent="0.3">
      <c r="B140" s="45">
        <f t="shared" ref="B140:AT140" si="32">B89-B38</f>
        <v>-7.4351068249907035E-4</v>
      </c>
      <c r="C140" s="45">
        <f t="shared" si="32"/>
        <v>-3.2948929159802316E-3</v>
      </c>
      <c r="D140" s="45">
        <f t="shared" si="32"/>
        <v>0</v>
      </c>
      <c r="E140" s="45">
        <f t="shared" si="32"/>
        <v>-1.0103561505430663E-3</v>
      </c>
      <c r="F140" s="45">
        <f t="shared" si="32"/>
        <v>-5.3937432578209283E-4</v>
      </c>
      <c r="G140" s="45">
        <f t="shared" si="32"/>
        <v>-6.311442233152908E-3</v>
      </c>
      <c r="H140" s="45">
        <f t="shared" si="32"/>
        <v>-1.1208751793400286E-3</v>
      </c>
      <c r="I140" s="45">
        <f t="shared" si="32"/>
        <v>-1.7235664567451111E-3</v>
      </c>
      <c r="J140" s="45">
        <f t="shared" si="32"/>
        <v>-4.6467775607785039E-3</v>
      </c>
      <c r="K140" s="45">
        <f t="shared" si="32"/>
        <v>-6.0302343473830856E-4</v>
      </c>
      <c r="L140" s="45">
        <f t="shared" si="32"/>
        <v>-2.3619884647074971E-3</v>
      </c>
      <c r="M140" s="45">
        <f t="shared" si="32"/>
        <v>-9.7657913413768619E-3</v>
      </c>
      <c r="N140" s="45">
        <f t="shared" si="32"/>
        <v>-3.854005685612347E-3</v>
      </c>
      <c r="O140" s="45">
        <f t="shared" si="32"/>
        <v>-1.5811412965358635E-3</v>
      </c>
      <c r="P140" s="45">
        <f t="shared" si="32"/>
        <v>-3.5672318281013918E-4</v>
      </c>
      <c r="Q140" s="45">
        <f t="shared" si="32"/>
        <v>-1.2464533482033028E-3</v>
      </c>
      <c r="R140" s="45">
        <f t="shared" si="32"/>
        <v>-2.4959171725264231E-3</v>
      </c>
      <c r="S140" s="45">
        <f t="shared" si="32"/>
        <v>-1.6068950405375797E-3</v>
      </c>
      <c r="T140" s="45">
        <f t="shared" si="32"/>
        <v>-9.4464386926128882E-4</v>
      </c>
      <c r="U140" s="45">
        <f t="shared" si="32"/>
        <v>-1.1207352689972957E-3</v>
      </c>
      <c r="V140" s="45">
        <f t="shared" si="32"/>
        <v>-6.0547348026156471E-4</v>
      </c>
      <c r="W140" s="45">
        <f t="shared" si="32"/>
        <v>-2.0184216511257677E-3</v>
      </c>
      <c r="X140" s="45">
        <f t="shared" si="32"/>
        <v>-1.1273839473052395E-3</v>
      </c>
      <c r="Y140" s="45">
        <f t="shared" si="32"/>
        <v>-2.3345279978956367E-3</v>
      </c>
      <c r="Z140" s="45">
        <f t="shared" si="32"/>
        <v>-1.1496168901713505E-3</v>
      </c>
      <c r="AA140" s="45">
        <f t="shared" si="32"/>
        <v>-1.408308623483019E-2</v>
      </c>
      <c r="AB140" s="45">
        <f t="shared" si="32"/>
        <v>-1.9884291409786267E-3</v>
      </c>
      <c r="AC140" s="45">
        <f t="shared" si="32"/>
        <v>-1.5533980582524266E-3</v>
      </c>
      <c r="AD140" s="45">
        <f t="shared" si="32"/>
        <v>-2.1712158808932999E-3</v>
      </c>
      <c r="AE140" s="45">
        <f t="shared" si="32"/>
        <v>-2.0687976634755803E-3</v>
      </c>
      <c r="AF140" s="45">
        <f t="shared" si="32"/>
        <v>-4.9517207229512264E-3</v>
      </c>
      <c r="AG140" s="45">
        <f t="shared" si="32"/>
        <v>-5.0539501426268138E-3</v>
      </c>
      <c r="AH140" s="45">
        <f t="shared" si="32"/>
        <v>0.88290358267381497</v>
      </c>
      <c r="AI140" s="45">
        <f t="shared" si="32"/>
        <v>-2.2303995193751883E-2</v>
      </c>
      <c r="AJ140" s="45">
        <f t="shared" si="32"/>
        <v>-3.7965481030722411E-3</v>
      </c>
      <c r="AK140" s="45">
        <f t="shared" si="32"/>
        <v>-3.2542717799375464E-3</v>
      </c>
      <c r="AL140" s="45">
        <f t="shared" si="32"/>
        <v>-3.8178699809693862E-3</v>
      </c>
      <c r="AM140" s="45">
        <f t="shared" si="32"/>
        <v>-1.2957208876831593E-2</v>
      </c>
      <c r="AN140" s="45">
        <f t="shared" si="32"/>
        <v>-1.527404586126836E-2</v>
      </c>
      <c r="AO140" s="45">
        <f t="shared" si="32"/>
        <v>-2.3343542242474044E-3</v>
      </c>
      <c r="AP140" s="45">
        <f t="shared" si="32"/>
        <v>-1.3464268812115479E-2</v>
      </c>
      <c r="AQ140" s="45">
        <f t="shared" si="32"/>
        <v>-1.3700597743820922E-3</v>
      </c>
      <c r="AR140" s="45">
        <f t="shared" si="32"/>
        <v>-2.7900368780605766E-2</v>
      </c>
      <c r="AS140" s="45">
        <f t="shared" si="32"/>
        <v>-2.9860699466508604E-2</v>
      </c>
      <c r="AT140" s="45">
        <f t="shared" si="32"/>
        <v>0</v>
      </c>
    </row>
    <row r="141" spans="2:46" x14ac:dyDescent="0.3">
      <c r="B141" s="45">
        <f t="shared" ref="B141:AT141" si="33">B90-B39</f>
        <v>-1.516178646664771E-3</v>
      </c>
      <c r="C141" s="45">
        <f t="shared" si="33"/>
        <v>-9.8846787479406929E-3</v>
      </c>
      <c r="D141" s="45">
        <f t="shared" si="33"/>
        <v>-2.7494108405341474E-3</v>
      </c>
      <c r="E141" s="45">
        <f t="shared" si="33"/>
        <v>-3.5362465269007316E-3</v>
      </c>
      <c r="F141" s="45">
        <f t="shared" si="33"/>
        <v>-2.1574973031283713E-3</v>
      </c>
      <c r="G141" s="45">
        <f t="shared" si="33"/>
        <v>-3.1694416431702647E-3</v>
      </c>
      <c r="H141" s="45">
        <f t="shared" si="33"/>
        <v>-2.5555954088952652E-3</v>
      </c>
      <c r="I141" s="45">
        <f t="shared" si="33"/>
        <v>-3.84487901889294E-3</v>
      </c>
      <c r="J141" s="45">
        <f t="shared" si="33"/>
        <v>-3.53559162233147E-3</v>
      </c>
      <c r="K141" s="45">
        <f t="shared" si="33"/>
        <v>-1.7882763926722253E-3</v>
      </c>
      <c r="L141" s="45">
        <f t="shared" si="33"/>
        <v>-1.8859287741462964E-3</v>
      </c>
      <c r="M141" s="45">
        <f t="shared" si="33"/>
        <v>-2.2143364088005675E-3</v>
      </c>
      <c r="N141" s="45">
        <f t="shared" si="33"/>
        <v>-3.0908362429168329E-3</v>
      </c>
      <c r="O141" s="45">
        <f t="shared" si="33"/>
        <v>-3.2101959656940259E-3</v>
      </c>
      <c r="P141" s="45">
        <f t="shared" si="33"/>
        <v>-1.3639415813328851E-3</v>
      </c>
      <c r="Q141" s="45">
        <f t="shared" si="33"/>
        <v>-2.7061158217571708E-3</v>
      </c>
      <c r="R141" s="45">
        <f t="shared" si="33"/>
        <v>-2.0425142293690655E-3</v>
      </c>
      <c r="S141" s="45">
        <f t="shared" si="33"/>
        <v>-1.7651498551359778E-3</v>
      </c>
      <c r="T141" s="45">
        <f t="shared" si="33"/>
        <v>-3.6841110901190263E-3</v>
      </c>
      <c r="U141" s="45">
        <f t="shared" si="33"/>
        <v>-1.2582232387999381E-3</v>
      </c>
      <c r="V141" s="45">
        <f t="shared" si="33"/>
        <v>-2.6640833131508848E-3</v>
      </c>
      <c r="W141" s="45">
        <f t="shared" si="33"/>
        <v>-3.8094155105753932E-3</v>
      </c>
      <c r="X141" s="45">
        <f t="shared" si="33"/>
        <v>-2.2234516738519998E-3</v>
      </c>
      <c r="Y141" s="45">
        <f t="shared" si="33"/>
        <v>-6.9707033176602106E-3</v>
      </c>
      <c r="Z141" s="45">
        <f t="shared" si="33"/>
        <v>-5.5354053261750524E-3</v>
      </c>
      <c r="AA141" s="45">
        <f t="shared" si="33"/>
        <v>-9.2318038700210919E-3</v>
      </c>
      <c r="AB141" s="45">
        <f t="shared" si="33"/>
        <v>-8.5432508318428434E-3</v>
      </c>
      <c r="AC141" s="45">
        <f t="shared" si="33"/>
        <v>-5.8252427184465995E-3</v>
      </c>
      <c r="AD141" s="45">
        <f t="shared" si="33"/>
        <v>-3.9547146401985103E-3</v>
      </c>
      <c r="AE141" s="45">
        <f t="shared" si="33"/>
        <v>-7.1190978419600854E-3</v>
      </c>
      <c r="AF141" s="45">
        <f t="shared" si="33"/>
        <v>-9.3257406948914767E-3</v>
      </c>
      <c r="AG141" s="45">
        <f t="shared" si="33"/>
        <v>-5.1624705444623577E-3</v>
      </c>
      <c r="AH141" s="45">
        <f t="shared" si="33"/>
        <v>-2.6636030976087143E-2</v>
      </c>
      <c r="AI141" s="45">
        <f t="shared" si="33"/>
        <v>0.96607464704115353</v>
      </c>
      <c r="AJ141" s="45">
        <f t="shared" si="33"/>
        <v>-1.7394114004146578E-2</v>
      </c>
      <c r="AK141" s="45">
        <f t="shared" si="33"/>
        <v>-1.1490824883337428E-2</v>
      </c>
      <c r="AL141" s="45">
        <f t="shared" si="33"/>
        <v>-5.0278410826304527E-3</v>
      </c>
      <c r="AM141" s="45">
        <f t="shared" si="33"/>
        <v>-1.1892556899733439E-2</v>
      </c>
      <c r="AN141" s="45">
        <f t="shared" si="33"/>
        <v>-1.0630527221975845E-2</v>
      </c>
      <c r="AO141" s="45">
        <f t="shared" si="33"/>
        <v>-1.0246258808296606E-2</v>
      </c>
      <c r="AP141" s="45">
        <f t="shared" si="33"/>
        <v>-8.1045906294368222E-3</v>
      </c>
      <c r="AQ141" s="45">
        <f t="shared" si="33"/>
        <v>-8.1872120388478235E-3</v>
      </c>
      <c r="AR141" s="45">
        <f t="shared" si="33"/>
        <v>-2.4303246478447494E-2</v>
      </c>
      <c r="AS141" s="45">
        <f t="shared" si="33"/>
        <v>-1.6301126259632488E-2</v>
      </c>
      <c r="AT141" s="45">
        <f t="shared" si="33"/>
        <v>0</v>
      </c>
    </row>
    <row r="142" spans="2:46" x14ac:dyDescent="0.3">
      <c r="B142" s="45">
        <f t="shared" ref="B142:AT142" si="34">B91-B40</f>
        <v>-1.122555344165263E-3</v>
      </c>
      <c r="C142" s="45">
        <f t="shared" si="34"/>
        <v>-3.2948929159802316E-3</v>
      </c>
      <c r="D142" s="45">
        <f t="shared" si="34"/>
        <v>-7.8554595443832797E-4</v>
      </c>
      <c r="E142" s="45">
        <f t="shared" si="34"/>
        <v>-2.7784794139934323E-3</v>
      </c>
      <c r="F142" s="45">
        <f t="shared" si="34"/>
        <v>-1.672060409924488E-2</v>
      </c>
      <c r="G142" s="45">
        <f t="shared" si="34"/>
        <v>-6.4486474990910151E-3</v>
      </c>
      <c r="H142" s="45">
        <f t="shared" si="34"/>
        <v>-1.7934002869440459E-3</v>
      </c>
      <c r="I142" s="45">
        <f t="shared" si="34"/>
        <v>-1.7898574743122307E-3</v>
      </c>
      <c r="J142" s="45">
        <f t="shared" si="34"/>
        <v>-3.6366085258266552E-3</v>
      </c>
      <c r="K142" s="45">
        <f t="shared" si="34"/>
        <v>-8.4215341747936195E-4</v>
      </c>
      <c r="L142" s="45">
        <f t="shared" si="34"/>
        <v>-2.508468369495559E-3</v>
      </c>
      <c r="M142" s="45">
        <f t="shared" si="34"/>
        <v>-2.9240596167494676E-3</v>
      </c>
      <c r="N142" s="45">
        <f t="shared" si="34"/>
        <v>-3.4342624921298143E-3</v>
      </c>
      <c r="O142" s="45">
        <f t="shared" si="34"/>
        <v>-4.1684634181400034E-3</v>
      </c>
      <c r="P142" s="45">
        <f t="shared" si="34"/>
        <v>-4.0498573107268744E-3</v>
      </c>
      <c r="Q142" s="45">
        <f t="shared" si="34"/>
        <v>-2.689715119807127E-3</v>
      </c>
      <c r="R142" s="45">
        <f t="shared" si="34"/>
        <v>-2.0253465451135932E-2</v>
      </c>
      <c r="S142" s="45">
        <f t="shared" si="34"/>
        <v>-4.6137365179071419E-3</v>
      </c>
      <c r="T142" s="45">
        <f t="shared" si="34"/>
        <v>-3.1551105233327045E-3</v>
      </c>
      <c r="U142" s="45">
        <f t="shared" si="34"/>
        <v>-2.3706259035667708E-3</v>
      </c>
      <c r="V142" s="45">
        <f t="shared" si="34"/>
        <v>-2.9062727052555104E-3</v>
      </c>
      <c r="W142" s="45">
        <f t="shared" si="34"/>
        <v>-3.4114168751421428E-3</v>
      </c>
      <c r="X142" s="45">
        <f t="shared" si="34"/>
        <v>-9.5201311105775777E-3</v>
      </c>
      <c r="Y142" s="45">
        <f t="shared" si="34"/>
        <v>-1.0982145792917501E-2</v>
      </c>
      <c r="Z142" s="45">
        <f t="shared" si="34"/>
        <v>-4.8226428542688157E-3</v>
      </c>
      <c r="AA142" s="45">
        <f t="shared" si="34"/>
        <v>-1.5162167945465106E-2</v>
      </c>
      <c r="AB142" s="45">
        <f t="shared" si="34"/>
        <v>-9.3426193307287221E-3</v>
      </c>
      <c r="AC142" s="45">
        <f t="shared" si="34"/>
        <v>-2.7184466019417462E-3</v>
      </c>
      <c r="AD142" s="45">
        <f t="shared" si="34"/>
        <v>-2.0704094292803968E-2</v>
      </c>
      <c r="AE142" s="45">
        <f t="shared" si="34"/>
        <v>-1.3852831413272758E-2</v>
      </c>
      <c r="AF142" s="45">
        <f t="shared" si="34"/>
        <v>-1.6753321779318316E-2</v>
      </c>
      <c r="AG142" s="45">
        <f t="shared" si="34"/>
        <v>-3.8137169787920127E-3</v>
      </c>
      <c r="AH142" s="45">
        <f t="shared" si="34"/>
        <v>-4.6492497092446031E-2</v>
      </c>
      <c r="AI142" s="45">
        <f t="shared" si="34"/>
        <v>-3.4394713127065192E-2</v>
      </c>
      <c r="AJ142" s="45">
        <f t="shared" si="34"/>
        <v>0.89614690756347781</v>
      </c>
      <c r="AK142" s="45">
        <f t="shared" si="34"/>
        <v>-3.8191642398512332E-2</v>
      </c>
      <c r="AL142" s="45">
        <f t="shared" si="34"/>
        <v>-6.8486713812466217E-3</v>
      </c>
      <c r="AM142" s="45">
        <f t="shared" si="34"/>
        <v>-1.3556568508383144E-2</v>
      </c>
      <c r="AN142" s="45">
        <f t="shared" si="34"/>
        <v>-8.947903894816478E-3</v>
      </c>
      <c r="AO142" s="45">
        <f t="shared" si="34"/>
        <v>-1.4124399292846295E-2</v>
      </c>
      <c r="AP142" s="45">
        <f t="shared" si="34"/>
        <v>-5.8684335068622823E-3</v>
      </c>
      <c r="AQ142" s="45">
        <f t="shared" si="34"/>
        <v>-5.546532312417825E-3</v>
      </c>
      <c r="AR142" s="45">
        <f t="shared" si="34"/>
        <v>-1.1123874010035667E-2</v>
      </c>
      <c r="AS142" s="45">
        <f t="shared" si="34"/>
        <v>-9.5336889942699097E-3</v>
      </c>
      <c r="AT142" s="45">
        <f t="shared" si="34"/>
        <v>0</v>
      </c>
    </row>
    <row r="143" spans="2:46" x14ac:dyDescent="0.3">
      <c r="B143" s="45">
        <f t="shared" ref="B143:AT143" si="35">B92-B41</f>
        <v>-1.6860198123728919E-2</v>
      </c>
      <c r="C143" s="45">
        <f t="shared" si="35"/>
        <v>-2.4711696869851734E-2</v>
      </c>
      <c r="D143" s="45">
        <f t="shared" si="35"/>
        <v>-7.8554595443832784E-3</v>
      </c>
      <c r="E143" s="45">
        <f t="shared" si="35"/>
        <v>-1.7428643596867893E-2</v>
      </c>
      <c r="F143" s="45">
        <f t="shared" si="35"/>
        <v>-1.4563106796116507E-2</v>
      </c>
      <c r="G143" s="45">
        <f t="shared" si="35"/>
        <v>-1.0557945213937311E-2</v>
      </c>
      <c r="H143" s="45">
        <f t="shared" si="35"/>
        <v>-8.8773314203730268E-3</v>
      </c>
      <c r="I143" s="45">
        <f t="shared" si="35"/>
        <v>-1.4119986741796486E-2</v>
      </c>
      <c r="J143" s="45">
        <f t="shared" si="35"/>
        <v>-1.4378072597481311E-2</v>
      </c>
      <c r="K143" s="45">
        <f t="shared" si="35"/>
        <v>-9.3260693269010837E-3</v>
      </c>
      <c r="L143" s="45">
        <f t="shared" si="35"/>
        <v>-1.1443742561567331E-2</v>
      </c>
      <c r="M143" s="45">
        <f t="shared" si="35"/>
        <v>-1.027679205110007E-2</v>
      </c>
      <c r="N143" s="45">
        <f t="shared" si="35"/>
        <v>-1.3660733024249706E-2</v>
      </c>
      <c r="O143" s="45">
        <f t="shared" si="35"/>
        <v>-9.678501269704376E-3</v>
      </c>
      <c r="P143" s="45">
        <f t="shared" si="35"/>
        <v>-7.260365956018127E-3</v>
      </c>
      <c r="Q143" s="45">
        <f t="shared" si="35"/>
        <v>-1.3973398061437027E-2</v>
      </c>
      <c r="R143" s="45">
        <f t="shared" si="35"/>
        <v>-4.7541279476693774E-3</v>
      </c>
      <c r="S143" s="45">
        <f t="shared" si="35"/>
        <v>-7.6205779952767038E-3</v>
      </c>
      <c r="T143" s="45">
        <f t="shared" si="35"/>
        <v>-1.0296618174948048E-2</v>
      </c>
      <c r="U143" s="45">
        <f t="shared" si="35"/>
        <v>-3.7996675290912036E-3</v>
      </c>
      <c r="V143" s="45">
        <f t="shared" si="35"/>
        <v>-9.08210220392347E-3</v>
      </c>
      <c r="W143" s="45">
        <f t="shared" si="35"/>
        <v>-1.4100523083920858E-2</v>
      </c>
      <c r="X143" s="45">
        <f t="shared" si="35"/>
        <v>-1.5637232898733783E-2</v>
      </c>
      <c r="Y143" s="45">
        <f t="shared" si="35"/>
        <v>-2.0517541840660243E-2</v>
      </c>
      <c r="Z143" s="45">
        <f t="shared" si="35"/>
        <v>-2.6119295744693082E-2</v>
      </c>
      <c r="AA143" s="45">
        <f t="shared" si="35"/>
        <v>-3.6679607495491089E-2</v>
      </c>
      <c r="AB143" s="45">
        <f t="shared" si="35"/>
        <v>-2.1323154707780852E-2</v>
      </c>
      <c r="AC143" s="45">
        <f t="shared" si="35"/>
        <v>-2.6407766990291251E-2</v>
      </c>
      <c r="AD143" s="45">
        <f t="shared" si="35"/>
        <v>-2.9854218362282876E-2</v>
      </c>
      <c r="AE143" s="45">
        <f t="shared" si="35"/>
        <v>-3.4358267077721889E-2</v>
      </c>
      <c r="AF143" s="45">
        <f t="shared" si="35"/>
        <v>-1.3452174630684165E-2</v>
      </c>
      <c r="AG143" s="45">
        <f t="shared" si="35"/>
        <v>-2.8928438546446729E-2</v>
      </c>
      <c r="AH143" s="45">
        <f t="shared" si="35"/>
        <v>-1.2537940033472328E-2</v>
      </c>
      <c r="AI143" s="45">
        <f t="shared" si="35"/>
        <v>-1.5883148092520279E-2</v>
      </c>
      <c r="AJ143" s="45">
        <f t="shared" si="35"/>
        <v>-2.2429252268504798E-2</v>
      </c>
      <c r="AK143" s="45">
        <f t="shared" si="35"/>
        <v>0.79992807269920352</v>
      </c>
      <c r="AL143" s="45">
        <f t="shared" si="35"/>
        <v>-6.2295890797171245E-2</v>
      </c>
      <c r="AM143" s="45">
        <f t="shared" si="35"/>
        <v>-3.3059415466633005E-2</v>
      </c>
      <c r="AN143" s="45">
        <f t="shared" si="35"/>
        <v>-2.8043722119322781E-2</v>
      </c>
      <c r="AO143" s="45">
        <f t="shared" si="35"/>
        <v>-2.3785513308931552E-2</v>
      </c>
      <c r="AP143" s="45">
        <f t="shared" si="35"/>
        <v>-5.3478466635115962E-3</v>
      </c>
      <c r="AQ143" s="45">
        <f t="shared" si="35"/>
        <v>-8.1209188239583681E-3</v>
      </c>
      <c r="AR143" s="45">
        <f t="shared" si="35"/>
        <v>-1.4358261290127561E-2</v>
      </c>
      <c r="AS143" s="45">
        <f t="shared" si="35"/>
        <v>-3.176249753013239E-2</v>
      </c>
      <c r="AT143" s="45">
        <f t="shared" si="35"/>
        <v>0</v>
      </c>
    </row>
    <row r="144" spans="2:46" x14ac:dyDescent="0.3">
      <c r="B144" s="45">
        <f t="shared" ref="B144:AT144" si="36">B93-B42</f>
        <v>-3.8123145779119E-3</v>
      </c>
      <c r="C144" s="45">
        <f t="shared" si="36"/>
        <v>-1.1532125205930808E-2</v>
      </c>
      <c r="D144" s="45">
        <f t="shared" si="36"/>
        <v>-1.7282010997643215E-2</v>
      </c>
      <c r="E144" s="45">
        <f t="shared" si="36"/>
        <v>-8.0828492043445305E-3</v>
      </c>
      <c r="F144" s="45">
        <f t="shared" si="36"/>
        <v>-1.6181229773462784E-3</v>
      </c>
      <c r="G144" s="45">
        <f t="shared" si="36"/>
        <v>-1.0228652575685854E-2</v>
      </c>
      <c r="H144" s="45">
        <f t="shared" si="36"/>
        <v>-6.4562410329985654E-3</v>
      </c>
      <c r="I144" s="45">
        <f t="shared" si="36"/>
        <v>-9.6784885647994701E-3</v>
      </c>
      <c r="J144" s="45">
        <f t="shared" si="36"/>
        <v>-1.1852650010101691E-2</v>
      </c>
      <c r="K144" s="45">
        <f t="shared" si="36"/>
        <v>-1.9650246407851776E-3</v>
      </c>
      <c r="L144" s="45">
        <f t="shared" si="36"/>
        <v>-5.9873661082120279E-3</v>
      </c>
      <c r="M144" s="45">
        <f t="shared" si="36"/>
        <v>-1.3825408090844569E-2</v>
      </c>
      <c r="N144" s="45">
        <f t="shared" si="36"/>
        <v>-1.381336691278881E-2</v>
      </c>
      <c r="O144" s="45">
        <f t="shared" si="36"/>
        <v>-8.1452733457908124E-3</v>
      </c>
      <c r="P144" s="45">
        <f t="shared" si="36"/>
        <v>-5.9803592412288036E-3</v>
      </c>
      <c r="Q144" s="45">
        <f t="shared" si="36"/>
        <v>-8.9547832647237282E-3</v>
      </c>
      <c r="R144" s="45">
        <f t="shared" si="36"/>
        <v>-5.9118461423333093E-3</v>
      </c>
      <c r="S144" s="45">
        <f t="shared" si="36"/>
        <v>-5.8554281401407265E-3</v>
      </c>
      <c r="T144" s="45">
        <f t="shared" si="36"/>
        <v>-1.0126582278481016E-2</v>
      </c>
      <c r="U144" s="45">
        <f t="shared" si="36"/>
        <v>-5.9536457226659319E-3</v>
      </c>
      <c r="V144" s="45">
        <f t="shared" si="36"/>
        <v>-1.2230564301283605E-2</v>
      </c>
      <c r="W144" s="45">
        <f t="shared" si="36"/>
        <v>-9.7509665681146246E-3</v>
      </c>
      <c r="X144" s="45">
        <f t="shared" si="36"/>
        <v>-1.7923317014102737E-2</v>
      </c>
      <c r="Y144" s="45">
        <f t="shared" si="36"/>
        <v>-3.1203761549337454E-2</v>
      </c>
      <c r="Z144" s="45">
        <f t="shared" si="36"/>
        <v>-1.6577475556270874E-2</v>
      </c>
      <c r="AA144" s="45">
        <f t="shared" si="36"/>
        <v>-3.7239018127349983E-2</v>
      </c>
      <c r="AB144" s="45">
        <f t="shared" si="36"/>
        <v>-1.815565703094555E-2</v>
      </c>
      <c r="AC144" s="45">
        <f t="shared" si="36"/>
        <v>-4.5048543689320368E-2</v>
      </c>
      <c r="AD144" s="45">
        <f t="shared" si="36"/>
        <v>-1.7679900744416874E-2</v>
      </c>
      <c r="AE144" s="45">
        <f t="shared" si="36"/>
        <v>-2.5454324192763268E-2</v>
      </c>
      <c r="AF144" s="45">
        <f t="shared" si="36"/>
        <v>-5.4468927952463489E-3</v>
      </c>
      <c r="AG144" s="45">
        <f t="shared" si="36"/>
        <v>-3.3780850799950392E-2</v>
      </c>
      <c r="AH144" s="45">
        <f t="shared" si="36"/>
        <v>-2.3969591240461805E-2</v>
      </c>
      <c r="AI144" s="45">
        <f t="shared" si="36"/>
        <v>-2.1703214178431966E-2</v>
      </c>
      <c r="AJ144" s="45">
        <f t="shared" si="36"/>
        <v>-3.459974689679312E-2</v>
      </c>
      <c r="AK144" s="45">
        <f t="shared" si="36"/>
        <v>-1.8832672537805691E-2</v>
      </c>
      <c r="AL144" s="45">
        <f t="shared" si="36"/>
        <v>0.97910156708878604</v>
      </c>
      <c r="AM144" s="45">
        <f t="shared" si="36"/>
        <v>-3.1718742606583479E-2</v>
      </c>
      <c r="AN144" s="45">
        <f t="shared" si="36"/>
        <v>-2.724806302663502E-2</v>
      </c>
      <c r="AO144" s="45">
        <f t="shared" si="36"/>
        <v>-1.9857573267597919E-2</v>
      </c>
      <c r="AP144" s="45">
        <f t="shared" si="36"/>
        <v>-1.8705631803123523E-2</v>
      </c>
      <c r="AQ144" s="45">
        <f t="shared" si="36"/>
        <v>-1.6816378843625357E-2</v>
      </c>
      <c r="AR144" s="45">
        <f t="shared" si="36"/>
        <v>-4.7608971646212438E-2</v>
      </c>
      <c r="AS144" s="45">
        <f t="shared" si="36"/>
        <v>-4.6112428373839165E-2</v>
      </c>
      <c r="AT144" s="45">
        <f t="shared" si="36"/>
        <v>0</v>
      </c>
    </row>
    <row r="145" spans="1:46" x14ac:dyDescent="0.3">
      <c r="B145" s="45">
        <f t="shared" ref="B145:AT145" si="37">B94-B43</f>
        <v>-5.7731417699927821E-3</v>
      </c>
      <c r="C145" s="45">
        <f t="shared" si="37"/>
        <v>-2.4711696869851734E-2</v>
      </c>
      <c r="D145" s="45">
        <f t="shared" si="37"/>
        <v>-2.7101335428122313E-2</v>
      </c>
      <c r="E145" s="45">
        <f t="shared" si="37"/>
        <v>-4.7486739075524115E-2</v>
      </c>
      <c r="F145" s="45">
        <f t="shared" si="37"/>
        <v>-6.3646170442286959E-2</v>
      </c>
      <c r="G145" s="45">
        <f t="shared" si="37"/>
        <v>-3.1982547490172673E-2</v>
      </c>
      <c r="H145" s="45">
        <f t="shared" si="37"/>
        <v>-1.1881276901004304E-2</v>
      </c>
      <c r="I145" s="45">
        <f t="shared" si="37"/>
        <v>-1.3059330460722572E-2</v>
      </c>
      <c r="J145" s="45">
        <f t="shared" si="37"/>
        <v>-1.5051518620782545E-2</v>
      </c>
      <c r="K145" s="45">
        <f t="shared" si="37"/>
        <v>-1.5751387993595475E-2</v>
      </c>
      <c r="L145" s="45">
        <f t="shared" si="37"/>
        <v>-1.2926851597546456E-2</v>
      </c>
      <c r="M145" s="45">
        <f t="shared" si="37"/>
        <v>-4.542228530872959E-2</v>
      </c>
      <c r="N145" s="45">
        <f t="shared" si="37"/>
        <v>-2.2551657031652447E-2</v>
      </c>
      <c r="O145" s="45">
        <f t="shared" si="37"/>
        <v>-2.3621292702793353E-2</v>
      </c>
      <c r="P145" s="45">
        <f t="shared" si="37"/>
        <v>-5.9593755245929128E-3</v>
      </c>
      <c r="Q145" s="45">
        <f t="shared" si="37"/>
        <v>-1.6089088612992634E-2</v>
      </c>
      <c r="R145" s="45">
        <f t="shared" si="37"/>
        <v>-2.1191085129704055E-2</v>
      </c>
      <c r="S145" s="45">
        <f t="shared" si="37"/>
        <v>-1.2088233145862246E-2</v>
      </c>
      <c r="T145" s="45">
        <f t="shared" si="37"/>
        <v>-1.7249197052711135E-2</v>
      </c>
      <c r="U145" s="45">
        <f t="shared" si="37"/>
        <v>-3.1576403731340165E-2</v>
      </c>
      <c r="V145" s="45">
        <f t="shared" si="37"/>
        <v>-2.2886897553887141E-2</v>
      </c>
      <c r="W145" s="45">
        <f t="shared" si="37"/>
        <v>-2.0098931089379126E-2</v>
      </c>
      <c r="X145" s="45">
        <f t="shared" si="37"/>
        <v>-5.3561176237251699E-2</v>
      </c>
      <c r="Y145" s="45">
        <f t="shared" si="37"/>
        <v>-2.6041495413145693E-2</v>
      </c>
      <c r="Z145" s="45">
        <f t="shared" si="37"/>
        <v>-3.678199240103236E-2</v>
      </c>
      <c r="AA145" s="45">
        <f t="shared" si="37"/>
        <v>-5.9688808730474122E-2</v>
      </c>
      <c r="AB145" s="45">
        <f t="shared" si="37"/>
        <v>-1.4508538254778722E-2</v>
      </c>
      <c r="AC145" s="45">
        <f t="shared" si="37"/>
        <v>-0.17126213592233003</v>
      </c>
      <c r="AD145" s="45">
        <f t="shared" si="37"/>
        <v>-3.3188585607940441E-2</v>
      </c>
      <c r="AE145" s="45">
        <f t="shared" si="37"/>
        <v>-3.109281194223593E-2</v>
      </c>
      <c r="AF145" s="45">
        <f t="shared" si="37"/>
        <v>-9.8209127671865983E-3</v>
      </c>
      <c r="AG145" s="45">
        <f t="shared" si="37"/>
        <v>-1.9998759766836162E-2</v>
      </c>
      <c r="AH145" s="45">
        <f t="shared" si="37"/>
        <v>-3.5259410546620143E-2</v>
      </c>
      <c r="AI145" s="45">
        <f t="shared" si="37"/>
        <v>-5.793781916491441E-2</v>
      </c>
      <c r="AJ145" s="45">
        <f t="shared" si="37"/>
        <v>-4.9516680578367743E-2</v>
      </c>
      <c r="AK145" s="45">
        <f t="shared" si="37"/>
        <v>-3.9612645170344907E-2</v>
      </c>
      <c r="AL145" s="45">
        <f t="shared" si="37"/>
        <v>-4.80992881140897E-2</v>
      </c>
      <c r="AM145" s="45">
        <f t="shared" si="37"/>
        <v>0.88451286257314554</v>
      </c>
      <c r="AN145" s="45">
        <f t="shared" si="37"/>
        <v>-5.0713484465082316E-2</v>
      </c>
      <c r="AO145" s="45">
        <f t="shared" si="37"/>
        <v>-1.2972784542217576E-2</v>
      </c>
      <c r="AP145" s="45">
        <f t="shared" si="37"/>
        <v>-8.3648840511121644E-3</v>
      </c>
      <c r="AQ145" s="45">
        <f t="shared" si="37"/>
        <v>-1.1347188615245231E-2</v>
      </c>
      <c r="AR145" s="45">
        <f t="shared" si="37"/>
        <v>-3.9810168671785252E-2</v>
      </c>
      <c r="AS145" s="45">
        <f t="shared" si="37"/>
        <v>-2.5736020549298563E-2</v>
      </c>
      <c r="AT145" s="45">
        <f t="shared" si="37"/>
        <v>0</v>
      </c>
    </row>
    <row r="146" spans="1:46" x14ac:dyDescent="0.3">
      <c r="B146" s="45">
        <f t="shared" ref="B146:AT146" si="38">B95-B44</f>
        <v>-3.4405592366623652E-3</v>
      </c>
      <c r="C146" s="45">
        <f t="shared" si="38"/>
        <v>-1.4827018121911041E-2</v>
      </c>
      <c r="D146" s="45">
        <f t="shared" si="38"/>
        <v>-5.4202670856244625E-2</v>
      </c>
      <c r="E146" s="45">
        <f t="shared" si="38"/>
        <v>-1.4902753220510228E-2</v>
      </c>
      <c r="F146" s="45">
        <f t="shared" si="38"/>
        <v>-2.9665587918015105E-2</v>
      </c>
      <c r="G146" s="45">
        <f t="shared" si="38"/>
        <v>-1.8371785109112488E-2</v>
      </c>
      <c r="H146" s="45">
        <f t="shared" si="38"/>
        <v>-1.4347202295552367E-2</v>
      </c>
      <c r="I146" s="45">
        <f t="shared" si="38"/>
        <v>-1.1866092144514418E-2</v>
      </c>
      <c r="J146" s="45">
        <f t="shared" si="38"/>
        <v>-1.9698296181561048E-2</v>
      </c>
      <c r="K146" s="45">
        <f t="shared" si="38"/>
        <v>-3.8780645027136048E-3</v>
      </c>
      <c r="L146" s="45">
        <f t="shared" si="38"/>
        <v>-1.008880344227776E-2</v>
      </c>
      <c r="M146" s="45">
        <f t="shared" si="38"/>
        <v>-3.9432221433640877E-2</v>
      </c>
      <c r="N146" s="45">
        <f t="shared" si="38"/>
        <v>-1.6618014614694823E-2</v>
      </c>
      <c r="O146" s="45">
        <f t="shared" si="38"/>
        <v>-2.2040151406257494E-2</v>
      </c>
      <c r="P146" s="45">
        <f t="shared" si="38"/>
        <v>-1.0365956018129925E-2</v>
      </c>
      <c r="Q146" s="45">
        <f t="shared" si="38"/>
        <v>-1.8139176356748065E-2</v>
      </c>
      <c r="R146" s="45">
        <f t="shared" si="38"/>
        <v>-2.6403017990852706E-2</v>
      </c>
      <c r="S146" s="45">
        <f t="shared" si="38"/>
        <v>-2.2289581963820519E-2</v>
      </c>
      <c r="T146" s="45">
        <f t="shared" si="38"/>
        <v>-1.2129227281314948E-2</v>
      </c>
      <c r="U146" s="45">
        <f t="shared" si="38"/>
        <v>-1.0844884405947811E-2</v>
      </c>
      <c r="V146" s="45">
        <f t="shared" si="38"/>
        <v>-1.9375151368370071E-2</v>
      </c>
      <c r="W146" s="45">
        <f t="shared" si="38"/>
        <v>-2.032635888105527E-2</v>
      </c>
      <c r="X146" s="45">
        <f t="shared" si="38"/>
        <v>-2.5888075827009201E-2</v>
      </c>
      <c r="Y146" s="45">
        <f t="shared" si="38"/>
        <v>-1.7097951533883535E-2</v>
      </c>
      <c r="Z146" s="45">
        <f t="shared" si="38"/>
        <v>-1.902615953233585E-2</v>
      </c>
      <c r="AA146" s="45">
        <f t="shared" si="38"/>
        <v>-4.0149176168495705E-2</v>
      </c>
      <c r="AB146" s="45">
        <f t="shared" si="38"/>
        <v>-2.4170904985061799E-2</v>
      </c>
      <c r="AC146" s="45">
        <f t="shared" si="38"/>
        <v>-4.5048543689320368E-2</v>
      </c>
      <c r="AD146" s="45">
        <f t="shared" si="38"/>
        <v>-7.1262406947890822E-2</v>
      </c>
      <c r="AE146" s="45">
        <f t="shared" si="38"/>
        <v>-1.6408404997566121E-2</v>
      </c>
      <c r="AF146" s="45">
        <f t="shared" si="38"/>
        <v>-1.180160105636709E-2</v>
      </c>
      <c r="AG146" s="45">
        <f t="shared" si="38"/>
        <v>-1.8727520773905493E-2</v>
      </c>
      <c r="AH146" s="45">
        <f t="shared" si="38"/>
        <v>-1.2396108132641194E-2</v>
      </c>
      <c r="AI146" s="45">
        <f t="shared" si="38"/>
        <v>-2.934439771703215E-2</v>
      </c>
      <c r="AJ146" s="45">
        <f t="shared" si="38"/>
        <v>-3.8746331349794008E-2</v>
      </c>
      <c r="AK146" s="45">
        <f t="shared" si="38"/>
        <v>-4.1077506052419215E-2</v>
      </c>
      <c r="AL146" s="45">
        <f t="shared" si="38"/>
        <v>-2.4534219862321734E-2</v>
      </c>
      <c r="AM146" s="45">
        <f t="shared" si="38"/>
        <v>-2.9889118468162952E-2</v>
      </c>
      <c r="AN146" s="45">
        <f t="shared" si="38"/>
        <v>0.95981269402342628</v>
      </c>
      <c r="AO146" s="45">
        <f t="shared" si="38"/>
        <v>-1.0507706481412317E-2</v>
      </c>
      <c r="AP146" s="45">
        <f t="shared" si="38"/>
        <v>-9.6426881211547581E-3</v>
      </c>
      <c r="AQ146" s="45">
        <f t="shared" si="38"/>
        <v>-1.3932623995934017E-2</v>
      </c>
      <c r="AR146" s="45">
        <f t="shared" si="38"/>
        <v>-4.4223444773592892E-2</v>
      </c>
      <c r="AS146" s="45">
        <f t="shared" si="38"/>
        <v>-1.7783046828689985E-2</v>
      </c>
      <c r="AT146" s="45">
        <f t="shared" si="38"/>
        <v>0</v>
      </c>
    </row>
    <row r="147" spans="1:46" x14ac:dyDescent="0.3">
      <c r="B147" s="45">
        <f t="shared" ref="B147:AT147" si="39">B96-B45</f>
        <v>-3.3166407895791864E-3</v>
      </c>
      <c r="C147" s="45">
        <f t="shared" si="39"/>
        <v>-9.8846787479406929E-3</v>
      </c>
      <c r="D147" s="45">
        <f t="shared" si="39"/>
        <v>-5.4988216810682947E-3</v>
      </c>
      <c r="E147" s="45">
        <f t="shared" si="39"/>
        <v>-6.314725940894164E-3</v>
      </c>
      <c r="F147" s="45">
        <f t="shared" si="39"/>
        <v>-9.1693635382955781E-3</v>
      </c>
      <c r="G147" s="45">
        <f t="shared" si="39"/>
        <v>-3.1145595367950219E-3</v>
      </c>
      <c r="H147" s="45">
        <f t="shared" si="39"/>
        <v>-1.4347202295552368E-3</v>
      </c>
      <c r="I147" s="45">
        <f t="shared" si="39"/>
        <v>-1.5246934040437519E-3</v>
      </c>
      <c r="J147" s="45">
        <f t="shared" si="39"/>
        <v>-1.9529934675735737E-3</v>
      </c>
      <c r="K147" s="45">
        <f t="shared" si="39"/>
        <v>-1.1644590463912165E-3</v>
      </c>
      <c r="L147" s="45">
        <f t="shared" si="39"/>
        <v>-1.3000091549940488E-3</v>
      </c>
      <c r="M147" s="45">
        <f t="shared" si="39"/>
        <v>-1.2207239176721077E-3</v>
      </c>
      <c r="N147" s="45">
        <f t="shared" si="39"/>
        <v>-1.8888443706713981E-3</v>
      </c>
      <c r="O147" s="45">
        <f t="shared" si="39"/>
        <v>-1.8925782185808065E-3</v>
      </c>
      <c r="P147" s="45">
        <f t="shared" si="39"/>
        <v>-1.0491858317945269E-3</v>
      </c>
      <c r="Q147" s="45">
        <f t="shared" si="39"/>
        <v>-1.6564708969543894E-3</v>
      </c>
      <c r="R147" s="45">
        <f t="shared" si="39"/>
        <v>-1.9148570900334992E-3</v>
      </c>
      <c r="S147" s="45">
        <f t="shared" si="39"/>
        <v>-1.3877729895551826E-3</v>
      </c>
      <c r="T147" s="45">
        <f t="shared" si="39"/>
        <v>-1.6436803325146424E-3</v>
      </c>
      <c r="U147" s="45">
        <f t="shared" si="39"/>
        <v>-1.4248753234092015E-3</v>
      </c>
      <c r="V147" s="45">
        <f t="shared" si="39"/>
        <v>-2.0586098328893199E-3</v>
      </c>
      <c r="W147" s="45">
        <f t="shared" si="39"/>
        <v>-1.7341369115305891E-3</v>
      </c>
      <c r="X147" s="45">
        <f t="shared" si="39"/>
        <v>-4.2694447634059529E-3</v>
      </c>
      <c r="Y147" s="45">
        <f t="shared" si="39"/>
        <v>-1.2067208101798572E-2</v>
      </c>
      <c r="Z147" s="45">
        <f t="shared" si="39"/>
        <v>-2.6556150162958198E-3</v>
      </c>
      <c r="AA147" s="45">
        <f t="shared" si="39"/>
        <v>-7.4007275395102864E-3</v>
      </c>
      <c r="AB147" s="45">
        <f t="shared" si="39"/>
        <v>-1.16507958712617E-2</v>
      </c>
      <c r="AC147" s="45">
        <f t="shared" si="39"/>
        <v>-1.9805825242718435E-2</v>
      </c>
      <c r="AD147" s="45">
        <f t="shared" si="39"/>
        <v>-1.8532878411910668E-2</v>
      </c>
      <c r="AE147" s="45">
        <f t="shared" si="39"/>
        <v>-7.9709557033912064E-3</v>
      </c>
      <c r="AF147" s="45">
        <f t="shared" si="39"/>
        <v>-2.5583890401914668E-3</v>
      </c>
      <c r="AG147" s="45">
        <f t="shared" si="39"/>
        <v>-4.3098102443259326E-3</v>
      </c>
      <c r="AH147" s="45">
        <f t="shared" si="39"/>
        <v>-3.0068362976200603E-3</v>
      </c>
      <c r="AI147" s="45">
        <f t="shared" si="39"/>
        <v>-1.794833283268249E-2</v>
      </c>
      <c r="AJ147" s="45">
        <f t="shared" si="39"/>
        <v>-4.9543606451439171E-3</v>
      </c>
      <c r="AK147" s="45">
        <f t="shared" si="39"/>
        <v>-9.3768639696852757E-3</v>
      </c>
      <c r="AL147" s="45">
        <f t="shared" si="39"/>
        <v>-4.088057702699527E-3</v>
      </c>
      <c r="AM147" s="45">
        <f t="shared" si="39"/>
        <v>-6.6718190564817566E-3</v>
      </c>
      <c r="AN147" s="45">
        <f t="shared" si="39"/>
        <v>-4.343516030574179E-3</v>
      </c>
      <c r="AO147" s="45">
        <f t="shared" si="39"/>
        <v>0.98031050023654787</v>
      </c>
      <c r="AP147" s="45">
        <f t="shared" si="39"/>
        <v>-1.8693800283956464E-3</v>
      </c>
      <c r="AQ147" s="45">
        <f t="shared" si="39"/>
        <v>-9.6125161589711292E-4</v>
      </c>
      <c r="AR147" s="45">
        <f t="shared" si="39"/>
        <v>-1.184934405416843E-2</v>
      </c>
      <c r="AS147" s="45">
        <f t="shared" si="39"/>
        <v>-1.2102351313969573E-2</v>
      </c>
      <c r="AT147" s="45">
        <f t="shared" si="39"/>
        <v>0</v>
      </c>
    </row>
    <row r="148" spans="1:46" x14ac:dyDescent="0.3">
      <c r="B148" s="45">
        <f t="shared" ref="B148:AT148" si="40">B97-B46</f>
        <v>-3.6446602083287761E-4</v>
      </c>
      <c r="C148" s="45">
        <f t="shared" si="40"/>
        <v>-1.6474464579901158E-3</v>
      </c>
      <c r="D148" s="45">
        <f t="shared" si="40"/>
        <v>-7.8554595443832797E-4</v>
      </c>
      <c r="E148" s="45">
        <f t="shared" si="40"/>
        <v>-2.5258903763576658E-4</v>
      </c>
      <c r="F148" s="45">
        <f t="shared" si="40"/>
        <v>-5.3937432578209283E-4</v>
      </c>
      <c r="G148" s="45">
        <f t="shared" si="40"/>
        <v>-8.0951106903482957E-4</v>
      </c>
      <c r="H148" s="45">
        <f t="shared" si="40"/>
        <v>-5.3802008608321375E-4</v>
      </c>
      <c r="I148" s="45">
        <f t="shared" si="40"/>
        <v>-7.9549221080543579E-4</v>
      </c>
      <c r="J148" s="45">
        <f t="shared" si="40"/>
        <v>-9.7649673378678685E-4</v>
      </c>
      <c r="K148" s="45">
        <f t="shared" si="40"/>
        <v>-2.9111476159780411E-4</v>
      </c>
      <c r="L148" s="45">
        <f t="shared" si="40"/>
        <v>-5.4929964295523186E-4</v>
      </c>
      <c r="M148" s="45">
        <f t="shared" si="40"/>
        <v>-1.5330021291696237E-3</v>
      </c>
      <c r="N148" s="45">
        <f t="shared" si="40"/>
        <v>-1.5835765935931923E-3</v>
      </c>
      <c r="O148" s="45">
        <f t="shared" si="40"/>
        <v>-8.6244070720138016E-4</v>
      </c>
      <c r="P148" s="45">
        <f t="shared" si="40"/>
        <v>-5.4557663253315409E-4</v>
      </c>
      <c r="Q148" s="45">
        <f t="shared" si="40"/>
        <v>-5.9042527020156457E-4</v>
      </c>
      <c r="R148" s="45">
        <f t="shared" si="40"/>
        <v>-5.8986402313675602E-4</v>
      </c>
      <c r="S148" s="45">
        <f t="shared" si="40"/>
        <v>-7.7910062571519018E-4</v>
      </c>
      <c r="T148" s="45">
        <f t="shared" si="40"/>
        <v>-1.3225014169658043E-3</v>
      </c>
      <c r="U148" s="45">
        <f t="shared" si="40"/>
        <v>-5.7494969190195842E-4</v>
      </c>
      <c r="V148" s="45">
        <f t="shared" si="40"/>
        <v>-1.8164204407846939E-3</v>
      </c>
      <c r="W148" s="45">
        <f t="shared" si="40"/>
        <v>-7.9599727086649991E-4</v>
      </c>
      <c r="X148" s="45">
        <f t="shared" si="40"/>
        <v>-7.8290551896197178E-4</v>
      </c>
      <c r="Y148" s="45">
        <f t="shared" si="40"/>
        <v>-1.5453917732548581E-3</v>
      </c>
      <c r="Z148" s="45">
        <f t="shared" si="40"/>
        <v>-8.5646458317765615E-4</v>
      </c>
      <c r="AA148" s="45">
        <f t="shared" si="40"/>
        <v>-2.8092807140892E-3</v>
      </c>
      <c r="AB148" s="45">
        <f t="shared" si="40"/>
        <v>-7.0943954276121853E-4</v>
      </c>
      <c r="AC148" s="45">
        <f t="shared" si="40"/>
        <v>-3.8834951456310666E-4</v>
      </c>
      <c r="AD148" s="45">
        <f t="shared" si="40"/>
        <v>-3.2568238213399503E-3</v>
      </c>
      <c r="AE148" s="45">
        <f t="shared" si="40"/>
        <v>-2.0079506733733572E-3</v>
      </c>
      <c r="AF148" s="45">
        <f t="shared" si="40"/>
        <v>-2.1457456466121979E-3</v>
      </c>
      <c r="AG148" s="45">
        <f t="shared" si="40"/>
        <v>-1.0697011038075157E-3</v>
      </c>
      <c r="AH148" s="45">
        <f t="shared" si="40"/>
        <v>-1.0495560661503986E-3</v>
      </c>
      <c r="AI148" s="45">
        <f t="shared" si="40"/>
        <v>-2.2341544007209377E-3</v>
      </c>
      <c r="AJ148" s="45">
        <f t="shared" si="40"/>
        <v>-3.5003634992864636E-3</v>
      </c>
      <c r="AK148" s="45">
        <f t="shared" si="40"/>
        <v>-3.7191677485000525E-3</v>
      </c>
      <c r="AL148" s="45">
        <f t="shared" si="40"/>
        <v>-6.4022742757794326E-4</v>
      </c>
      <c r="AM148" s="45">
        <f t="shared" si="40"/>
        <v>-3.0598886452895052E-3</v>
      </c>
      <c r="AN148" s="45">
        <f t="shared" si="40"/>
        <v>-2.4000208697466936E-3</v>
      </c>
      <c r="AO148" s="45">
        <f t="shared" si="40"/>
        <v>-2.7078509001269889E-3</v>
      </c>
      <c r="AP148" s="45">
        <f t="shared" si="40"/>
        <v>0.9745149077141505</v>
      </c>
      <c r="AQ148" s="45">
        <f t="shared" si="40"/>
        <v>-1.1711801297137239E-3</v>
      </c>
      <c r="AR148" s="45">
        <f t="shared" si="40"/>
        <v>-6.0455837011063414E-4</v>
      </c>
      <c r="AS148" s="45">
        <f t="shared" si="40"/>
        <v>-4.3963643548705798E-3</v>
      </c>
      <c r="AT148" s="45">
        <f t="shared" si="40"/>
        <v>0</v>
      </c>
    </row>
    <row r="149" spans="1:46" x14ac:dyDescent="0.3">
      <c r="B149" s="45">
        <f t="shared" ref="B149:AT149" si="41">B98-B47</f>
        <v>-7.2893204166575527E-5</v>
      </c>
      <c r="C149" s="45">
        <f t="shared" si="41"/>
        <v>-1.6474464579901158E-3</v>
      </c>
      <c r="D149" s="45">
        <f t="shared" si="41"/>
        <v>0</v>
      </c>
      <c r="E149" s="45">
        <f t="shared" si="41"/>
        <v>0</v>
      </c>
      <c r="F149" s="45">
        <f t="shared" si="41"/>
        <v>-5.3937432578209283E-4</v>
      </c>
      <c r="G149" s="45">
        <f t="shared" si="41"/>
        <v>-3.9103500792360413E-4</v>
      </c>
      <c r="H149" s="45">
        <f t="shared" si="41"/>
        <v>-6.2769010043041602E-4</v>
      </c>
      <c r="I149" s="45">
        <f t="shared" si="41"/>
        <v>-5.9661915810407687E-4</v>
      </c>
      <c r="J149" s="45">
        <f t="shared" si="41"/>
        <v>-4.0406761398073938E-4</v>
      </c>
      <c r="K149" s="45">
        <f t="shared" si="41"/>
        <v>-1.5595433657025222E-4</v>
      </c>
      <c r="L149" s="45">
        <f t="shared" si="41"/>
        <v>-4.2112972626567776E-4</v>
      </c>
      <c r="M149" s="45">
        <f t="shared" si="41"/>
        <v>-7.210787792760822E-3</v>
      </c>
      <c r="N149" s="45">
        <f t="shared" si="41"/>
        <v>-4.3882242954992071E-4</v>
      </c>
      <c r="O149" s="45">
        <f t="shared" si="41"/>
        <v>-4.5517703991183948E-4</v>
      </c>
      <c r="P149" s="45">
        <f t="shared" si="41"/>
        <v>-5.2459291589726346E-4</v>
      </c>
      <c r="Q149" s="45">
        <f t="shared" si="41"/>
        <v>-3.6081544290095615E-4</v>
      </c>
      <c r="R149" s="45">
        <f t="shared" si="41"/>
        <v>-3.2574580382179066E-4</v>
      </c>
      <c r="S149" s="45">
        <f t="shared" si="41"/>
        <v>-2.7998928736639643E-4</v>
      </c>
      <c r="T149" s="45">
        <f t="shared" si="41"/>
        <v>-4.5342905724541862E-4</v>
      </c>
      <c r="U149" s="45">
        <f t="shared" si="41"/>
        <v>-2.4581182479866342E-4</v>
      </c>
      <c r="V149" s="45">
        <f t="shared" si="41"/>
        <v>-4.8437878420925178E-4</v>
      </c>
      <c r="W149" s="45">
        <f t="shared" si="41"/>
        <v>-9.6656811462360716E-4</v>
      </c>
      <c r="X149" s="45">
        <f t="shared" si="41"/>
        <v>-5.6369197365261975E-4</v>
      </c>
      <c r="Y149" s="45">
        <f t="shared" si="41"/>
        <v>-3.2551869266432116E-3</v>
      </c>
      <c r="Z149" s="45">
        <f t="shared" si="41"/>
        <v>-3.1039656034626467E-4</v>
      </c>
      <c r="AA149" s="45">
        <f t="shared" si="41"/>
        <v>-1.0026594931678537E-3</v>
      </c>
      <c r="AB149" s="45">
        <f t="shared" si="41"/>
        <v>-2.8277660648088009E-3</v>
      </c>
      <c r="AC149" s="45">
        <f t="shared" si="41"/>
        <v>-1.1650485436893198E-3</v>
      </c>
      <c r="AD149" s="45">
        <f t="shared" si="41"/>
        <v>-5.4280397022332498E-4</v>
      </c>
      <c r="AE149" s="45">
        <f t="shared" si="41"/>
        <v>-5.4762291092000652E-4</v>
      </c>
      <c r="AF149" s="45">
        <f t="shared" si="41"/>
        <v>-1.3204588594536604E-3</v>
      </c>
      <c r="AG149" s="45">
        <f t="shared" si="41"/>
        <v>-2.6354954731489517E-3</v>
      </c>
      <c r="AH149" s="45">
        <f t="shared" si="41"/>
        <v>-2.8366380166226985E-4</v>
      </c>
      <c r="AI149" s="45">
        <f t="shared" si="41"/>
        <v>-1.6896966055872638E-4</v>
      </c>
      <c r="AJ149" s="45">
        <f t="shared" si="41"/>
        <v>-5.1159158835725228E-4</v>
      </c>
      <c r="AK149" s="45">
        <f t="shared" si="41"/>
        <v>-4.7366759061085578E-4</v>
      </c>
      <c r="AL149" s="45">
        <f t="shared" si="41"/>
        <v>-2.6431407560557289E-4</v>
      </c>
      <c r="AM149" s="45">
        <f t="shared" si="41"/>
        <v>-4.3374710178072887E-4</v>
      </c>
      <c r="AN149" s="45">
        <f t="shared" si="41"/>
        <v>-1.3043591683405944E-3</v>
      </c>
      <c r="AO149" s="45">
        <f t="shared" si="41"/>
        <v>-1.1827394736186848E-4</v>
      </c>
      <c r="AP149" s="45">
        <f t="shared" si="41"/>
        <v>-3.0761949834358739E-4</v>
      </c>
      <c r="AQ149" s="45">
        <f t="shared" si="41"/>
        <v>0.95589291436021528</v>
      </c>
      <c r="AR149" s="45">
        <f t="shared" si="41"/>
        <v>-1.0277492291880779E-3</v>
      </c>
      <c r="AS149" s="45">
        <f t="shared" si="41"/>
        <v>-3.2602252519264973E-3</v>
      </c>
      <c r="AT149" s="45">
        <f t="shared" si="41"/>
        <v>0</v>
      </c>
    </row>
    <row r="150" spans="1:46" x14ac:dyDescent="0.3">
      <c r="B150" s="45">
        <f t="shared" ref="B150:AT150" si="42">B99-B48</f>
        <v>-2.6970485541632946E-4</v>
      </c>
      <c r="C150" s="45">
        <f t="shared" si="42"/>
        <v>0</v>
      </c>
      <c r="D150" s="45">
        <f t="shared" si="42"/>
        <v>0</v>
      </c>
      <c r="E150" s="45">
        <f t="shared" si="42"/>
        <v>-1.0103561505430663E-3</v>
      </c>
      <c r="F150" s="45">
        <f t="shared" si="42"/>
        <v>0</v>
      </c>
      <c r="G150" s="45">
        <f t="shared" si="42"/>
        <v>-7.8207001584720826E-4</v>
      </c>
      <c r="H150" s="45">
        <f t="shared" si="42"/>
        <v>-6.2769010043041602E-4</v>
      </c>
      <c r="I150" s="45">
        <f t="shared" si="42"/>
        <v>-5.3032814053695723E-4</v>
      </c>
      <c r="J150" s="45">
        <f t="shared" si="42"/>
        <v>-7.7446292679641713E-4</v>
      </c>
      <c r="K150" s="45">
        <f t="shared" si="42"/>
        <v>-1.767482481129525E-4</v>
      </c>
      <c r="L150" s="45">
        <f t="shared" si="42"/>
        <v>-4.2112972626567776E-4</v>
      </c>
      <c r="M150" s="45">
        <f t="shared" si="42"/>
        <v>-1.0220014194464158E-3</v>
      </c>
      <c r="N150" s="45">
        <f t="shared" si="42"/>
        <v>-7.2501097056073855E-4</v>
      </c>
      <c r="O150" s="45">
        <f t="shared" si="42"/>
        <v>-4.5517703991183948E-4</v>
      </c>
      <c r="P150" s="45">
        <f t="shared" si="42"/>
        <v>-3.5672318281013918E-4</v>
      </c>
      <c r="Q150" s="45">
        <f t="shared" si="42"/>
        <v>-6.7242877995178174E-4</v>
      </c>
      <c r="R150" s="45">
        <f t="shared" si="42"/>
        <v>-5.1062855734226636E-4</v>
      </c>
      <c r="S150" s="45">
        <f t="shared" si="42"/>
        <v>-3.8955031285759509E-4</v>
      </c>
      <c r="T150" s="45">
        <f t="shared" si="42"/>
        <v>-5.6678632155677329E-4</v>
      </c>
      <c r="U150" s="45">
        <f t="shared" si="42"/>
        <v>-2.8747484595097921E-4</v>
      </c>
      <c r="V150" s="45">
        <f t="shared" si="42"/>
        <v>-4.8437878420925178E-4</v>
      </c>
      <c r="W150" s="45">
        <f t="shared" si="42"/>
        <v>-5.685694791903571E-4</v>
      </c>
      <c r="X150" s="45">
        <f t="shared" si="42"/>
        <v>-4.0711086986022532E-4</v>
      </c>
      <c r="Y150" s="45">
        <f t="shared" si="42"/>
        <v>-7.8913622464077849E-4</v>
      </c>
      <c r="Z150" s="45">
        <f t="shared" si="42"/>
        <v>-7.9898373866908864E-4</v>
      </c>
      <c r="AA150" s="45">
        <f t="shared" si="42"/>
        <v>-1.3908843579005289E-3</v>
      </c>
      <c r="AB150" s="45">
        <f t="shared" si="42"/>
        <v>-9.5924219866305597E-4</v>
      </c>
      <c r="AC150" s="45">
        <f t="shared" si="42"/>
        <v>-3.8834951456310666E-4</v>
      </c>
      <c r="AD150" s="45">
        <f t="shared" si="42"/>
        <v>-4.6526054590570714E-4</v>
      </c>
      <c r="AE150" s="45">
        <f t="shared" si="42"/>
        <v>-3.6305370760993023E-3</v>
      </c>
      <c r="AF150" s="45">
        <f t="shared" si="42"/>
        <v>-6.6022942972683021E-4</v>
      </c>
      <c r="AG150" s="45">
        <f t="shared" si="42"/>
        <v>-1.5502914547935011E-3</v>
      </c>
      <c r="AH150" s="45">
        <f t="shared" si="42"/>
        <v>-1.0240263240007942E-2</v>
      </c>
      <c r="AI150" s="45">
        <f t="shared" si="42"/>
        <v>-1.0325923700811057E-3</v>
      </c>
      <c r="AJ150" s="45">
        <f t="shared" si="42"/>
        <v>-1.3193677805002826E-3</v>
      </c>
      <c r="AK150" s="45">
        <f t="shared" si="42"/>
        <v>-7.1050138591628362E-4</v>
      </c>
      <c r="AL150" s="45">
        <f t="shared" si="42"/>
        <v>-8.1643681131499189E-4</v>
      </c>
      <c r="AM150" s="45">
        <f t="shared" si="42"/>
        <v>-1.4274222804056714E-3</v>
      </c>
      <c r="AN150" s="45">
        <f t="shared" si="42"/>
        <v>-5.2174366733623778E-3</v>
      </c>
      <c r="AO150" s="45">
        <f t="shared" si="42"/>
        <v>-2.9879734070366776E-4</v>
      </c>
      <c r="AP150" s="45">
        <f t="shared" si="42"/>
        <v>-1.1831519167061053E-4</v>
      </c>
      <c r="AQ150" s="45">
        <f t="shared" si="42"/>
        <v>-6.2978554144983267E-4</v>
      </c>
      <c r="AR150" s="45">
        <f t="shared" si="42"/>
        <v>0.94725228220784718</v>
      </c>
      <c r="AS150" s="45">
        <f t="shared" si="42"/>
        <v>-3.2602252519264973E-3</v>
      </c>
      <c r="AT150" s="45">
        <f t="shared" si="42"/>
        <v>0</v>
      </c>
    </row>
    <row r="151" spans="1:46" x14ac:dyDescent="0.3">
      <c r="B151" s="45">
        <f t="shared" ref="B151:AT151" si="43">B100-B49</f>
        <v>-1.8660660266643335E-3</v>
      </c>
      <c r="C151" s="45">
        <f t="shared" si="43"/>
        <v>-3.2948929159802316E-3</v>
      </c>
      <c r="D151" s="45">
        <f t="shared" si="43"/>
        <v>-7.8554595443832797E-4</v>
      </c>
      <c r="E151" s="45">
        <f t="shared" si="43"/>
        <v>-1.2629451881788327E-3</v>
      </c>
      <c r="F151" s="45">
        <f t="shared" si="43"/>
        <v>-1.0787486515641857E-3</v>
      </c>
      <c r="G151" s="45">
        <f t="shared" si="43"/>
        <v>-2.0512187257746952E-3</v>
      </c>
      <c r="H151" s="45">
        <f t="shared" si="43"/>
        <v>-1.3450502152080343E-3</v>
      </c>
      <c r="I151" s="45">
        <f t="shared" si="43"/>
        <v>-1.2595293337752734E-3</v>
      </c>
      <c r="J151" s="45">
        <f t="shared" si="43"/>
        <v>-1.7172873594181425E-3</v>
      </c>
      <c r="K151" s="45">
        <f t="shared" si="43"/>
        <v>-6.1342039050965873E-4</v>
      </c>
      <c r="L151" s="45">
        <f t="shared" si="43"/>
        <v>-1.1901492264030024E-3</v>
      </c>
      <c r="M151" s="45">
        <f t="shared" si="43"/>
        <v>-1.8736692689850954E-3</v>
      </c>
      <c r="N151" s="45">
        <f t="shared" si="43"/>
        <v>-1.1447541640432714E-3</v>
      </c>
      <c r="O151" s="45">
        <f t="shared" si="43"/>
        <v>-1.2936610608020702E-3</v>
      </c>
      <c r="P151" s="45">
        <f t="shared" si="43"/>
        <v>-7.5541379889205941E-4</v>
      </c>
      <c r="Q151" s="45">
        <f t="shared" si="43"/>
        <v>-1.0660456267528248E-3</v>
      </c>
      <c r="R151" s="45">
        <f t="shared" si="43"/>
        <v>-1.3558068591501557E-3</v>
      </c>
      <c r="S151" s="45">
        <f t="shared" si="43"/>
        <v>-1.0590899130815865E-3</v>
      </c>
      <c r="T151" s="45">
        <f t="shared" si="43"/>
        <v>-1.265822784810127E-3</v>
      </c>
      <c r="U151" s="45">
        <f t="shared" si="43"/>
        <v>-5.8328229613242161E-4</v>
      </c>
      <c r="V151" s="45">
        <f t="shared" si="43"/>
        <v>-1.2109469605231294E-3</v>
      </c>
      <c r="W151" s="45">
        <f t="shared" si="43"/>
        <v>-1.819422333409143E-3</v>
      </c>
      <c r="X151" s="45">
        <f t="shared" si="43"/>
        <v>-3.2046932576176709E-3</v>
      </c>
      <c r="Y151" s="45">
        <f t="shared" si="43"/>
        <v>-5.030743432084964E-3</v>
      </c>
      <c r="Z151" s="45">
        <f t="shared" si="43"/>
        <v>-2.1325393312678553E-3</v>
      </c>
      <c r="AA151" s="45">
        <f t="shared" si="43"/>
        <v>-4.8298841439183195E-3</v>
      </c>
      <c r="AB151" s="45">
        <f t="shared" si="43"/>
        <v>-1.8885080786178914E-3</v>
      </c>
      <c r="AC151" s="45">
        <f t="shared" si="43"/>
        <v>-2.7184466019417462E-3</v>
      </c>
      <c r="AD151" s="45">
        <f t="shared" si="43"/>
        <v>-3.1017369727047144E-3</v>
      </c>
      <c r="AE151" s="45">
        <f t="shared" si="43"/>
        <v>-6.4903456109037813E-3</v>
      </c>
      <c r="AF151" s="45">
        <f t="shared" si="43"/>
        <v>-3.1360897912024433E-3</v>
      </c>
      <c r="AG151" s="45">
        <f t="shared" si="43"/>
        <v>-4.4338335607094128E-3</v>
      </c>
      <c r="AH151" s="45">
        <f t="shared" si="43"/>
        <v>-3.8010949422744161E-3</v>
      </c>
      <c r="AI151" s="45">
        <f t="shared" si="43"/>
        <v>-5.2192850705917709E-3</v>
      </c>
      <c r="AJ151" s="45">
        <f t="shared" si="43"/>
        <v>-9.2625003365734097E-3</v>
      </c>
      <c r="AK151" s="45">
        <f t="shared" si="43"/>
        <v>-4.508613732851479E-3</v>
      </c>
      <c r="AL151" s="45">
        <f t="shared" si="43"/>
        <v>-5.8501515400700135E-3</v>
      </c>
      <c r="AM151" s="45">
        <f t="shared" si="43"/>
        <v>-5.8516427185691059E-3</v>
      </c>
      <c r="AN151" s="45">
        <f t="shared" si="43"/>
        <v>-5.9870085826833289E-3</v>
      </c>
      <c r="AO151" s="45">
        <f t="shared" si="43"/>
        <v>-2.732750678518961E-3</v>
      </c>
      <c r="AP151" s="45">
        <f t="shared" si="43"/>
        <v>-2.5556081400851878E-3</v>
      </c>
      <c r="AQ151" s="45">
        <f t="shared" si="43"/>
        <v>-2.7953638945053976E-3</v>
      </c>
      <c r="AR151" s="45">
        <f t="shared" si="43"/>
        <v>-6.5896862342059125E-3</v>
      </c>
      <c r="AS151" s="45">
        <f t="shared" si="43"/>
        <v>0.9960976091681486</v>
      </c>
      <c r="AT151" s="45">
        <f t="shared" si="43"/>
        <v>0</v>
      </c>
    </row>
    <row r="152" spans="1:46" x14ac:dyDescent="0.3">
      <c r="B152" s="45">
        <f t="shared" ref="B152:AT152" si="44">B101-B50</f>
        <v>0</v>
      </c>
      <c r="C152" s="45">
        <f t="shared" si="44"/>
        <v>0</v>
      </c>
      <c r="D152" s="45">
        <f t="shared" si="44"/>
        <v>0</v>
      </c>
      <c r="E152" s="45">
        <f t="shared" si="44"/>
        <v>0</v>
      </c>
      <c r="F152" s="45">
        <f t="shared" si="44"/>
        <v>0</v>
      </c>
      <c r="G152" s="45">
        <f t="shared" si="44"/>
        <v>0</v>
      </c>
      <c r="H152" s="45">
        <f t="shared" si="44"/>
        <v>0</v>
      </c>
      <c r="I152" s="45">
        <f t="shared" si="44"/>
        <v>0</v>
      </c>
      <c r="J152" s="45">
        <f t="shared" si="44"/>
        <v>0</v>
      </c>
      <c r="K152" s="45">
        <f t="shared" si="44"/>
        <v>0</v>
      </c>
      <c r="L152" s="45">
        <f t="shared" si="44"/>
        <v>0</v>
      </c>
      <c r="M152" s="45">
        <f t="shared" si="44"/>
        <v>0</v>
      </c>
      <c r="N152" s="45">
        <f t="shared" si="44"/>
        <v>0</v>
      </c>
      <c r="O152" s="45">
        <f t="shared" si="44"/>
        <v>0</v>
      </c>
      <c r="P152" s="45">
        <f t="shared" si="44"/>
        <v>0</v>
      </c>
      <c r="Q152" s="45">
        <f t="shared" si="44"/>
        <v>0</v>
      </c>
      <c r="R152" s="45">
        <f t="shared" si="44"/>
        <v>0</v>
      </c>
      <c r="S152" s="45">
        <f t="shared" si="44"/>
        <v>0</v>
      </c>
      <c r="T152" s="45">
        <f t="shared" si="44"/>
        <v>0</v>
      </c>
      <c r="U152" s="45">
        <f t="shared" si="44"/>
        <v>0</v>
      </c>
      <c r="V152" s="45">
        <f t="shared" si="44"/>
        <v>0</v>
      </c>
      <c r="W152" s="45">
        <f t="shared" si="44"/>
        <v>0</v>
      </c>
      <c r="X152" s="45">
        <f t="shared" si="44"/>
        <v>0</v>
      </c>
      <c r="Y152" s="45">
        <f t="shared" si="44"/>
        <v>0</v>
      </c>
      <c r="Z152" s="45">
        <f t="shared" si="44"/>
        <v>0</v>
      </c>
      <c r="AA152" s="45">
        <f t="shared" si="44"/>
        <v>0</v>
      </c>
      <c r="AB152" s="45">
        <f t="shared" si="44"/>
        <v>0</v>
      </c>
      <c r="AC152" s="45">
        <f t="shared" si="44"/>
        <v>0</v>
      </c>
      <c r="AD152" s="45">
        <f t="shared" si="44"/>
        <v>0</v>
      </c>
      <c r="AE152" s="45">
        <f t="shared" si="44"/>
        <v>0</v>
      </c>
      <c r="AF152" s="45">
        <f t="shared" si="44"/>
        <v>0</v>
      </c>
      <c r="AG152" s="45">
        <f t="shared" si="44"/>
        <v>0</v>
      </c>
      <c r="AH152" s="45">
        <f t="shared" si="44"/>
        <v>0</v>
      </c>
      <c r="AI152" s="45">
        <f t="shared" si="44"/>
        <v>0</v>
      </c>
      <c r="AJ152" s="45">
        <f t="shared" si="44"/>
        <v>0</v>
      </c>
      <c r="AK152" s="45">
        <f t="shared" si="44"/>
        <v>0</v>
      </c>
      <c r="AL152" s="45">
        <f t="shared" si="44"/>
        <v>0</v>
      </c>
      <c r="AM152" s="45">
        <f t="shared" si="44"/>
        <v>0</v>
      </c>
      <c r="AN152" s="45">
        <f t="shared" si="44"/>
        <v>0</v>
      </c>
      <c r="AO152" s="45">
        <f t="shared" si="44"/>
        <v>0</v>
      </c>
      <c r="AP152" s="45">
        <f t="shared" si="44"/>
        <v>0</v>
      </c>
      <c r="AQ152" s="45">
        <f t="shared" si="44"/>
        <v>0</v>
      </c>
      <c r="AR152" s="45">
        <f t="shared" si="44"/>
        <v>0</v>
      </c>
      <c r="AS152" s="45">
        <f t="shared" si="44"/>
        <v>0</v>
      </c>
      <c r="AT152" s="45">
        <f t="shared" si="44"/>
        <v>1</v>
      </c>
    </row>
    <row r="155" spans="1:46" ht="14.4" customHeight="1" x14ac:dyDescent="0.3">
      <c r="B155" s="61" t="s">
        <v>230</v>
      </c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</row>
    <row r="156" spans="1:46" x14ac:dyDescent="0.3"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</row>
    <row r="159" spans="1:46" x14ac:dyDescent="0.3">
      <c r="A159" s="14"/>
      <c r="B159" s="14" t="s">
        <v>0</v>
      </c>
      <c r="C159" s="14" t="s">
        <v>1</v>
      </c>
      <c r="D159" s="14" t="s">
        <v>2</v>
      </c>
      <c r="E159" s="14" t="s">
        <v>3</v>
      </c>
      <c r="F159" s="14" t="s">
        <v>4</v>
      </c>
      <c r="G159" s="14" t="s">
        <v>5</v>
      </c>
      <c r="H159" s="14" t="s">
        <v>6</v>
      </c>
      <c r="I159" s="14" t="s">
        <v>7</v>
      </c>
      <c r="J159" s="14" t="s">
        <v>8</v>
      </c>
      <c r="K159" s="14" t="s">
        <v>9</v>
      </c>
      <c r="L159" s="14" t="s">
        <v>10</v>
      </c>
      <c r="M159" s="14" t="s">
        <v>11</v>
      </c>
      <c r="N159" s="14" t="s">
        <v>12</v>
      </c>
      <c r="O159" s="14" t="s">
        <v>13</v>
      </c>
      <c r="P159" s="14" t="s">
        <v>14</v>
      </c>
      <c r="Q159" s="14" t="s">
        <v>15</v>
      </c>
      <c r="R159" s="14" t="s">
        <v>16</v>
      </c>
      <c r="S159" s="14" t="s">
        <v>17</v>
      </c>
      <c r="T159" s="14" t="s">
        <v>18</v>
      </c>
      <c r="U159" s="14" t="s">
        <v>19</v>
      </c>
      <c r="V159" s="14" t="s">
        <v>20</v>
      </c>
      <c r="W159" s="14" t="s">
        <v>21</v>
      </c>
      <c r="X159" s="14" t="s">
        <v>22</v>
      </c>
      <c r="Y159" s="14" t="s">
        <v>23</v>
      </c>
      <c r="Z159" s="14" t="s">
        <v>24</v>
      </c>
      <c r="AA159" s="14" t="s">
        <v>25</v>
      </c>
      <c r="AB159" s="14" t="s">
        <v>26</v>
      </c>
      <c r="AC159" s="14" t="s">
        <v>27</v>
      </c>
      <c r="AD159" s="14" t="s">
        <v>28</v>
      </c>
      <c r="AE159" s="14" t="s">
        <v>29</v>
      </c>
      <c r="AF159" s="14" t="s">
        <v>30</v>
      </c>
      <c r="AG159" s="14" t="s">
        <v>31</v>
      </c>
      <c r="AH159" s="14" t="s">
        <v>32</v>
      </c>
      <c r="AI159" s="14" t="s">
        <v>33</v>
      </c>
      <c r="AJ159" s="14" t="s">
        <v>34</v>
      </c>
      <c r="AK159" s="14" t="s">
        <v>35</v>
      </c>
      <c r="AL159" s="14" t="s">
        <v>36</v>
      </c>
      <c r="AM159" s="14" t="s">
        <v>37</v>
      </c>
      <c r="AN159" s="14" t="s">
        <v>38</v>
      </c>
      <c r="AO159" s="14" t="s">
        <v>39</v>
      </c>
      <c r="AP159" s="14" t="s">
        <v>40</v>
      </c>
      <c r="AQ159" s="14" t="s">
        <v>41</v>
      </c>
      <c r="AR159" s="14" t="s">
        <v>42</v>
      </c>
      <c r="AS159" s="14" t="s">
        <v>43</v>
      </c>
      <c r="AT159" s="14" t="s">
        <v>44</v>
      </c>
    </row>
    <row r="160" spans="1:46" x14ac:dyDescent="0.3">
      <c r="A160" s="14" t="s">
        <v>54</v>
      </c>
      <c r="B160" s="1">
        <v>1.3017965718826801</v>
      </c>
      <c r="C160" s="1">
        <v>0.15283469589769799</v>
      </c>
      <c r="D160" s="1">
        <v>1.37136036288736E-2</v>
      </c>
      <c r="E160" s="1">
        <v>9.7938285571505905E-3</v>
      </c>
      <c r="F160" s="1">
        <v>8.8434622550828106E-3</v>
      </c>
      <c r="G160" s="1">
        <v>0.41091999936699902</v>
      </c>
      <c r="H160" s="1">
        <v>2.3233244988437301E-2</v>
      </c>
      <c r="I160" s="1">
        <v>0.123116645797891</v>
      </c>
      <c r="J160" s="1">
        <v>2.04488117163029E-2</v>
      </c>
      <c r="K160" s="1">
        <v>1.42402826827411E-2</v>
      </c>
      <c r="L160" s="1">
        <v>2.0058489125141701E-2</v>
      </c>
      <c r="M160" s="1">
        <v>1.7932001252083499E-2</v>
      </c>
      <c r="N160" s="1">
        <v>2.7301701113834401E-2</v>
      </c>
      <c r="O160" s="1">
        <v>1.52049163674477E-2</v>
      </c>
      <c r="P160" s="1">
        <v>1.4667856109319401E-2</v>
      </c>
      <c r="Q160" s="1">
        <v>1.2816933679696701E-2</v>
      </c>
      <c r="R160" s="1">
        <v>1.6635823217084601E-2</v>
      </c>
      <c r="S160" s="1">
        <v>1.44933647016218E-2</v>
      </c>
      <c r="T160" s="1">
        <v>1.33644079999817E-2</v>
      </c>
      <c r="U160" s="1">
        <v>1.4762857404177199E-2</v>
      </c>
      <c r="V160" s="1">
        <v>1.14946730943048E-2</v>
      </c>
      <c r="W160" s="1">
        <v>2.3738672692599199E-2</v>
      </c>
      <c r="X160" s="1">
        <v>2.5106937070254999E-2</v>
      </c>
      <c r="Y160" s="1">
        <v>1.1277940481745199E-2</v>
      </c>
      <c r="Z160" s="1">
        <v>1.48094652932664E-2</v>
      </c>
      <c r="AA160" s="1">
        <v>2.6522744462836902E-2</v>
      </c>
      <c r="AB160" s="1">
        <v>1.0544470311605001E-2</v>
      </c>
      <c r="AC160" s="1">
        <v>1.8151334970858898E-2</v>
      </c>
      <c r="AD160" s="1">
        <v>1.6366149956956799E-2</v>
      </c>
      <c r="AE160" s="1">
        <v>1.06580341347303E-2</v>
      </c>
      <c r="AF160" s="1">
        <v>4.0984221755787304E-3</v>
      </c>
      <c r="AG160" s="1">
        <v>0.115975208710467</v>
      </c>
      <c r="AH160" s="1">
        <v>9.9230922089070493E-3</v>
      </c>
      <c r="AI160" s="1">
        <v>5.92964117902498E-3</v>
      </c>
      <c r="AJ160" s="1">
        <v>5.39320327233298E-3</v>
      </c>
      <c r="AK160" s="1">
        <v>5.0976651674716402E-3</v>
      </c>
      <c r="AL160" s="1">
        <v>6.2966095478666096E-3</v>
      </c>
      <c r="AM160" s="1">
        <v>9.1550828481498803E-3</v>
      </c>
      <c r="AN160" s="1">
        <v>1.45001242278946E-2</v>
      </c>
      <c r="AO160" s="1">
        <v>5.4288556089482701E-3</v>
      </c>
      <c r="AP160" s="1">
        <v>4.0550248519975202E-3</v>
      </c>
      <c r="AQ160" s="1">
        <v>1.6959503271801499E-2</v>
      </c>
      <c r="AR160" s="1">
        <v>1.0271402073962099E-2</v>
      </c>
      <c r="AS160" s="1">
        <v>1.27593473489008E-2</v>
      </c>
      <c r="AT160" s="1">
        <v>0</v>
      </c>
    </row>
    <row r="161" spans="1:46" x14ac:dyDescent="0.3">
      <c r="A161" s="14" t="s">
        <v>55</v>
      </c>
      <c r="B161" s="1">
        <v>2.2800953304323899E-4</v>
      </c>
      <c r="C161" s="1">
        <v>1.1346316145422199</v>
      </c>
      <c r="D161" s="44">
        <v>3.1820764271411102E-5</v>
      </c>
      <c r="E161" s="44">
        <v>1.7312264266628799E-5</v>
      </c>
      <c r="F161" s="44">
        <v>1.9041280298176501E-5</v>
      </c>
      <c r="G161" s="1">
        <v>3.1920346164028898E-4</v>
      </c>
      <c r="H161" s="44">
        <v>2.1631766604528901E-5</v>
      </c>
      <c r="I161" s="44">
        <v>3.7706550798431998E-5</v>
      </c>
      <c r="J161" s="44">
        <v>2.37371516318704E-5</v>
      </c>
      <c r="K161" s="44">
        <v>3.3707977686870103E-5</v>
      </c>
      <c r="L161" s="44">
        <v>2.5797156248169399E-5</v>
      </c>
      <c r="M161" s="44">
        <v>2.19835517070315E-5</v>
      </c>
      <c r="N161" s="44">
        <v>2.5770060605699999E-5</v>
      </c>
      <c r="O161" s="44">
        <v>2.1030367101003001E-5</v>
      </c>
      <c r="P161" s="44">
        <v>2.1726460902819001E-5</v>
      </c>
      <c r="Q161" s="44">
        <v>1.92665503998599E-5</v>
      </c>
      <c r="R161" s="44">
        <v>3.7511933560331701E-5</v>
      </c>
      <c r="S161" s="44">
        <v>2.1937779522708099E-5</v>
      </c>
      <c r="T161" s="44">
        <v>2.0751156010307702E-5</v>
      </c>
      <c r="U161" s="44">
        <v>3.3948806892109397E-5</v>
      </c>
      <c r="V161" s="44">
        <v>1.86486886644676E-5</v>
      </c>
      <c r="W161" s="44">
        <v>2.2293713534953499E-5</v>
      </c>
      <c r="X161" s="44">
        <v>3.4777742360068399E-5</v>
      </c>
      <c r="Y161" s="44">
        <v>1.5428611261713099E-5</v>
      </c>
      <c r="Z161" s="44">
        <v>3.3293725356458601E-5</v>
      </c>
      <c r="AA161" s="44">
        <v>3.9984770841540001E-5</v>
      </c>
      <c r="AB161" s="44">
        <v>2.2493463160065201E-5</v>
      </c>
      <c r="AC161" s="44">
        <v>3.3311300375712401E-5</v>
      </c>
      <c r="AD161" s="44">
        <v>3.9965020265460399E-5</v>
      </c>
      <c r="AE161" s="44">
        <v>4.2740708011387502E-5</v>
      </c>
      <c r="AF161" s="44">
        <v>1.12279877157434E-5</v>
      </c>
      <c r="AG161" s="1">
        <v>2.3875445719501302E-3</v>
      </c>
      <c r="AH161" s="44">
        <v>1.7425562920183499E-5</v>
      </c>
      <c r="AI161" s="44">
        <v>1.3312977691741399E-5</v>
      </c>
      <c r="AJ161" s="44">
        <v>2.0178426594041801E-5</v>
      </c>
      <c r="AK161" s="44">
        <v>1.78428394937287E-5</v>
      </c>
      <c r="AL161" s="44">
        <v>1.9122709220641898E-5</v>
      </c>
      <c r="AM161" s="44">
        <v>3.3860998330052E-5</v>
      </c>
      <c r="AN161" s="44">
        <v>9.5923567224291798E-5</v>
      </c>
      <c r="AO161" s="44">
        <v>2.0708934138786302E-5</v>
      </c>
      <c r="AP161" s="44">
        <v>1.38066375413821E-5</v>
      </c>
      <c r="AQ161" s="44">
        <v>5.2158509685870899E-5</v>
      </c>
      <c r="AR161" s="1">
        <v>1.7238962413410001E-4</v>
      </c>
      <c r="AS161" s="44">
        <v>8.0448618113855197E-5</v>
      </c>
      <c r="AT161" s="1">
        <v>0</v>
      </c>
    </row>
    <row r="162" spans="1:46" x14ac:dyDescent="0.3">
      <c r="A162" s="14" t="s">
        <v>56</v>
      </c>
      <c r="B162" s="1">
        <v>3.7555660396735802E-2</v>
      </c>
      <c r="C162" s="1">
        <v>3.4164419035674999E-2</v>
      </c>
      <c r="D162" s="1">
        <v>1.1012998584307001</v>
      </c>
      <c r="E162" s="1">
        <v>6.7026205200218694E-2</v>
      </c>
      <c r="F162" s="1">
        <v>3.7198024320130099E-2</v>
      </c>
      <c r="G162" s="1">
        <v>3.7534188470354703E-2</v>
      </c>
      <c r="H162" s="1">
        <v>2.2774273798150099E-2</v>
      </c>
      <c r="I162" s="1">
        <v>3.4705650716256101E-2</v>
      </c>
      <c r="J162" s="1">
        <v>3.31451362639869E-2</v>
      </c>
      <c r="K162" s="1">
        <v>0.29625576487389199</v>
      </c>
      <c r="L162" s="1">
        <v>0.112615020767938</v>
      </c>
      <c r="M162" s="1">
        <v>2.9224230682460901E-2</v>
      </c>
      <c r="N162" s="1">
        <v>4.7819081580281197E-2</v>
      </c>
      <c r="O162" s="1">
        <v>6.0310681011467103E-2</v>
      </c>
      <c r="P162" s="1">
        <v>0.102945859654445</v>
      </c>
      <c r="Q162" s="1">
        <v>4.1337110533727302E-2</v>
      </c>
      <c r="R162" s="1">
        <v>2.84477774096853E-2</v>
      </c>
      <c r="S162" s="1">
        <v>3.6503269564957599E-2</v>
      </c>
      <c r="T162" s="1">
        <v>3.3183599349895697E-2</v>
      </c>
      <c r="U162" s="1">
        <v>2.9672252265670999E-2</v>
      </c>
      <c r="V162" s="1">
        <v>3.19981607431249E-2</v>
      </c>
      <c r="W162" s="1">
        <v>2.62313380911612E-2</v>
      </c>
      <c r="X162" s="1">
        <v>0.14935687862114899</v>
      </c>
      <c r="Y162" s="1">
        <v>3.1892345512687902E-2</v>
      </c>
      <c r="Z162" s="1">
        <v>3.3933305337254201E-2</v>
      </c>
      <c r="AA162" s="1">
        <v>2.36585229762926E-2</v>
      </c>
      <c r="AB162" s="1">
        <v>5.5103604016630399E-2</v>
      </c>
      <c r="AC162" s="1">
        <v>7.2298659829282602E-2</v>
      </c>
      <c r="AD162" s="1">
        <v>7.9327100235070697E-2</v>
      </c>
      <c r="AE162" s="1">
        <v>3.57437260850237E-2</v>
      </c>
      <c r="AF162" s="1">
        <v>1.2115819238238E-2</v>
      </c>
      <c r="AG162" s="1">
        <v>2.7952166372218399E-2</v>
      </c>
      <c r="AH162" s="1">
        <v>1.2613468517199E-2</v>
      </c>
      <c r="AI162" s="1">
        <v>1.0422713753350899E-2</v>
      </c>
      <c r="AJ162" s="1">
        <v>9.5689378899624002E-3</v>
      </c>
      <c r="AK162" s="1">
        <v>9.6745923232157693E-3</v>
      </c>
      <c r="AL162" s="1">
        <v>1.33121674777615E-2</v>
      </c>
      <c r="AM162" s="1">
        <v>1.6404433516576999E-2</v>
      </c>
      <c r="AN162" s="1">
        <v>1.8584923914352899E-2</v>
      </c>
      <c r="AO162" s="1">
        <v>1.36323100946267E-2</v>
      </c>
      <c r="AP162" s="1">
        <v>1.5954082687924E-2</v>
      </c>
      <c r="AQ162" s="1">
        <v>2.3385275295911601E-2</v>
      </c>
      <c r="AR162" s="1">
        <v>2.9024465315209101E-2</v>
      </c>
      <c r="AS162" s="1">
        <v>1.6145859127460999E-2</v>
      </c>
      <c r="AT162" s="1">
        <v>0</v>
      </c>
    </row>
    <row r="163" spans="1:46" x14ac:dyDescent="0.3">
      <c r="A163" s="14" t="s">
        <v>57</v>
      </c>
      <c r="B163" s="1">
        <v>8.4307641239670193E-3</v>
      </c>
      <c r="C163" s="1">
        <v>6.0335715171012201E-3</v>
      </c>
      <c r="D163" s="1">
        <v>0.132201453587701</v>
      </c>
      <c r="E163" s="1">
        <v>1.0560955173963</v>
      </c>
      <c r="F163" s="1">
        <v>5.3731048056313499E-2</v>
      </c>
      <c r="G163" s="1">
        <v>1.1541529390546401E-2</v>
      </c>
      <c r="H163" s="1">
        <v>5.2866618826819802E-3</v>
      </c>
      <c r="I163" s="1">
        <v>8.5104718564032594E-3</v>
      </c>
      <c r="J163" s="1">
        <v>8.2825921910540407E-3</v>
      </c>
      <c r="K163" s="1">
        <v>3.6965637804250398E-2</v>
      </c>
      <c r="L163" s="1">
        <v>1.86418466839012E-2</v>
      </c>
      <c r="M163" s="1">
        <v>5.71637105119916E-3</v>
      </c>
      <c r="N163" s="1">
        <v>1.0695003961733099E-2</v>
      </c>
      <c r="O163" s="1">
        <v>4.8406365332265298E-2</v>
      </c>
      <c r="P163" s="1">
        <v>2.4484689682710399E-2</v>
      </c>
      <c r="Q163" s="1">
        <v>1.34466326407895E-2</v>
      </c>
      <c r="R163" s="1">
        <v>7.0567102584526802E-3</v>
      </c>
      <c r="S163" s="1">
        <v>9.8275859727917497E-3</v>
      </c>
      <c r="T163" s="1">
        <v>9.6893677701155104E-3</v>
      </c>
      <c r="U163" s="1">
        <v>8.3736865841343797E-3</v>
      </c>
      <c r="V163" s="1">
        <v>7.5812106052536004E-3</v>
      </c>
      <c r="W163" s="1">
        <v>7.0355566822165603E-3</v>
      </c>
      <c r="X163" s="1">
        <v>1.97309566708035E-2</v>
      </c>
      <c r="Y163" s="1">
        <v>7.5911062399915E-3</v>
      </c>
      <c r="Z163" s="1">
        <v>1.8871774272641199E-2</v>
      </c>
      <c r="AA163" s="1">
        <v>5.5027556468260699E-3</v>
      </c>
      <c r="AB163" s="1">
        <v>8.2123143586078206E-3</v>
      </c>
      <c r="AC163" s="1">
        <v>1.17234758252409E-2</v>
      </c>
      <c r="AD163" s="1">
        <v>1.1278505448967101E-2</v>
      </c>
      <c r="AE163" s="1">
        <v>6.3993877349949203E-3</v>
      </c>
      <c r="AF163" s="1">
        <v>1.9731776045090899E-3</v>
      </c>
      <c r="AG163" s="1">
        <v>5.9231023314853196E-3</v>
      </c>
      <c r="AH163" s="1">
        <v>2.8572140240776798E-3</v>
      </c>
      <c r="AI163" s="1">
        <v>2.1792262251379602E-3</v>
      </c>
      <c r="AJ163" s="1">
        <v>2.4100544447090699E-3</v>
      </c>
      <c r="AK163" s="1">
        <v>1.94376863997023E-3</v>
      </c>
      <c r="AL163" s="1">
        <v>6.5011635346165098E-3</v>
      </c>
      <c r="AM163" s="1">
        <v>3.9656107167611596E-3</v>
      </c>
      <c r="AN163" s="1">
        <v>3.8888928800801799E-3</v>
      </c>
      <c r="AO163" s="1">
        <v>2.5502870419940398E-3</v>
      </c>
      <c r="AP163" s="1">
        <v>2.7363402071873999E-3</v>
      </c>
      <c r="AQ163" s="1">
        <v>4.5681744718389303E-3</v>
      </c>
      <c r="AR163" s="1">
        <v>5.4257188768674098E-3</v>
      </c>
      <c r="AS163" s="1">
        <v>4.4919202314227698E-3</v>
      </c>
      <c r="AT163" s="1">
        <v>0</v>
      </c>
    </row>
    <row r="164" spans="1:46" x14ac:dyDescent="0.3">
      <c r="A164" s="14" t="s">
        <v>58</v>
      </c>
      <c r="B164" s="1">
        <v>6.5160586237913596E-3</v>
      </c>
      <c r="C164" s="1">
        <v>5.9244455483491703E-3</v>
      </c>
      <c r="D164" s="1">
        <v>0.173753899104509</v>
      </c>
      <c r="E164" s="1">
        <v>1.2799477723331201E-2</v>
      </c>
      <c r="F164" s="1">
        <v>1.0587082986009</v>
      </c>
      <c r="G164" s="1">
        <v>6.4847118326284304E-3</v>
      </c>
      <c r="H164" s="1">
        <v>3.9401075776416099E-3</v>
      </c>
      <c r="I164" s="1">
        <v>6.1612304199241902E-3</v>
      </c>
      <c r="J164" s="1">
        <v>5.6863480957272498E-3</v>
      </c>
      <c r="K164" s="1">
        <v>5.2628356820085799E-2</v>
      </c>
      <c r="L164" s="1">
        <v>1.9421860357985099E-2</v>
      </c>
      <c r="M164" s="1">
        <v>5.0292444684105096E-3</v>
      </c>
      <c r="N164" s="1">
        <v>8.4267202260660205E-3</v>
      </c>
      <c r="O164" s="1">
        <v>1.03470767274511E-2</v>
      </c>
      <c r="P164" s="1">
        <v>1.7914998158623002E-2</v>
      </c>
      <c r="Q164" s="1">
        <v>7.1981833280366399E-3</v>
      </c>
      <c r="R164" s="1">
        <v>4.9943741441087104E-3</v>
      </c>
      <c r="S164" s="1">
        <v>6.3739071633435503E-3</v>
      </c>
      <c r="T164" s="1">
        <v>5.8511541523921301E-3</v>
      </c>
      <c r="U164" s="1">
        <v>5.2633835525906598E-3</v>
      </c>
      <c r="V164" s="1">
        <v>5.6501524526089498E-3</v>
      </c>
      <c r="W164" s="1">
        <v>4.7222774424240596E-3</v>
      </c>
      <c r="X164" s="1">
        <v>2.4906926726264302E-2</v>
      </c>
      <c r="Y164" s="1">
        <v>5.5178542765339598E-3</v>
      </c>
      <c r="Z164" s="1">
        <v>6.2609394804606696E-3</v>
      </c>
      <c r="AA164" s="1">
        <v>4.1151081812413502E-3</v>
      </c>
      <c r="AB164" s="1">
        <v>9.6582508230529593E-3</v>
      </c>
      <c r="AC164" s="1">
        <v>1.27366721370303E-2</v>
      </c>
      <c r="AD164" s="1">
        <v>1.39746347103866E-2</v>
      </c>
      <c r="AE164" s="1">
        <v>6.1556926748362198E-3</v>
      </c>
      <c r="AF164" s="1">
        <v>2.0720894348868601E-3</v>
      </c>
      <c r="AG164" s="1">
        <v>4.7796518090406402E-3</v>
      </c>
      <c r="AH164" s="1">
        <v>2.19971578655281E-3</v>
      </c>
      <c r="AI164" s="1">
        <v>1.8063262509672899E-3</v>
      </c>
      <c r="AJ164" s="1">
        <v>1.68403606148943E-3</v>
      </c>
      <c r="AK164" s="1">
        <v>1.6909628813436301E-3</v>
      </c>
      <c r="AL164" s="1">
        <v>2.3197219282500002E-3</v>
      </c>
      <c r="AM164" s="1">
        <v>2.86554736631791E-3</v>
      </c>
      <c r="AN164" s="1">
        <v>3.2430325393811099E-3</v>
      </c>
      <c r="AO164" s="1">
        <v>2.3250374210094398E-3</v>
      </c>
      <c r="AP164" s="1">
        <v>2.6814092895360302E-3</v>
      </c>
      <c r="AQ164" s="1">
        <v>4.0078916977766103E-3</v>
      </c>
      <c r="AR164" s="1">
        <v>4.9461719893478997E-3</v>
      </c>
      <c r="AS164" s="1">
        <v>2.78264294776339E-3</v>
      </c>
      <c r="AT164" s="1">
        <v>0</v>
      </c>
    </row>
    <row r="165" spans="1:46" x14ac:dyDescent="0.3">
      <c r="A165" s="14" t="s">
        <v>59</v>
      </c>
      <c r="B165" s="1">
        <v>0.10429073400274699</v>
      </c>
      <c r="C165" s="1">
        <v>7.5602755582884998E-2</v>
      </c>
      <c r="D165" s="1">
        <v>1.14626120759604E-2</v>
      </c>
      <c r="E165" s="1">
        <v>5.6799931914893404E-3</v>
      </c>
      <c r="F165" s="1">
        <v>5.56358851332005E-3</v>
      </c>
      <c r="G165" s="1">
        <v>1.14128927246093</v>
      </c>
      <c r="H165" s="1">
        <v>1.00661644167309E-2</v>
      </c>
      <c r="I165" s="1">
        <v>1.6736958016967701E-2</v>
      </c>
      <c r="J165" s="1">
        <v>1.5927375517104901E-2</v>
      </c>
      <c r="K165" s="1">
        <v>1.21700550851575E-2</v>
      </c>
      <c r="L165" s="1">
        <v>1.4377090341890299E-2</v>
      </c>
      <c r="M165" s="1">
        <v>1.2008870006401801E-2</v>
      </c>
      <c r="N165" s="1">
        <v>1.27803927397846E-2</v>
      </c>
      <c r="O165" s="1">
        <v>8.0477449544701408E-3</v>
      </c>
      <c r="P165" s="1">
        <v>8.1358293968288101E-3</v>
      </c>
      <c r="Q165" s="1">
        <v>7.0907924013444102E-3</v>
      </c>
      <c r="R165" s="1">
        <v>9.9725796650149794E-3</v>
      </c>
      <c r="S165" s="1">
        <v>8.3800399552353393E-3</v>
      </c>
      <c r="T165" s="1">
        <v>7.2665051844165197E-3</v>
      </c>
      <c r="U165" s="1">
        <v>8.0851453917241203E-3</v>
      </c>
      <c r="V165" s="1">
        <v>6.4774705119188501E-3</v>
      </c>
      <c r="W165" s="1">
        <v>8.8777057938434108E-3</v>
      </c>
      <c r="X165" s="1">
        <v>9.7950500538915297E-3</v>
      </c>
      <c r="Y165" s="1">
        <v>5.4595228583617199E-3</v>
      </c>
      <c r="Z165" s="1">
        <v>6.88159455501314E-3</v>
      </c>
      <c r="AA165" s="1">
        <v>1.40172266995192E-2</v>
      </c>
      <c r="AB165" s="1">
        <v>6.1230480400637699E-3</v>
      </c>
      <c r="AC165" s="1">
        <v>1.79788753937641E-2</v>
      </c>
      <c r="AD165" s="1">
        <v>1.2447545497704699E-2</v>
      </c>
      <c r="AE165" s="1">
        <v>4.8234641473470403E-3</v>
      </c>
      <c r="AF165" s="1">
        <v>2.9849871404855001E-3</v>
      </c>
      <c r="AG165" s="1">
        <v>0.24275344089062101</v>
      </c>
      <c r="AH165" s="1">
        <v>5.5201435964392902E-3</v>
      </c>
      <c r="AI165" s="1">
        <v>3.3541444895255198E-3</v>
      </c>
      <c r="AJ165" s="1">
        <v>4.1866298516630698E-3</v>
      </c>
      <c r="AK165" s="1">
        <v>4.0442751863600098E-3</v>
      </c>
      <c r="AL165" s="1">
        <v>4.0815958777200003E-3</v>
      </c>
      <c r="AM165" s="1">
        <v>6.8692891214841003E-3</v>
      </c>
      <c r="AN165" s="1">
        <v>1.7609423212158502E-2</v>
      </c>
      <c r="AO165" s="1">
        <v>5.3242390584351904E-3</v>
      </c>
      <c r="AP165" s="1">
        <v>3.1588134533698602E-3</v>
      </c>
      <c r="AQ165" s="1">
        <v>2.3312969444712402E-2</v>
      </c>
      <c r="AR165" s="1">
        <v>9.2913379299441792E-3</v>
      </c>
      <c r="AS165" s="1">
        <v>1.12075250683646E-2</v>
      </c>
      <c r="AT165" s="1">
        <v>0</v>
      </c>
    </row>
    <row r="166" spans="1:46" x14ac:dyDescent="0.3">
      <c r="A166" s="14" t="s">
        <v>60</v>
      </c>
      <c r="B166" s="1">
        <v>2.3750831521576901E-3</v>
      </c>
      <c r="C166" s="1">
        <v>4.0381089455635904E-3</v>
      </c>
      <c r="D166" s="1">
        <v>2.9009327902928999E-3</v>
      </c>
      <c r="E166" s="1">
        <v>2.6238080110473701E-3</v>
      </c>
      <c r="F166" s="1">
        <v>2.3647409841407699E-3</v>
      </c>
      <c r="G166" s="1">
        <v>3.73248778960036E-3</v>
      </c>
      <c r="H166" s="1">
        <v>1.2692339672384401</v>
      </c>
      <c r="I166" s="1">
        <v>4.5460963993743204E-3</v>
      </c>
      <c r="J166" s="1">
        <v>7.5644670682563199E-3</v>
      </c>
      <c r="K166" s="1">
        <v>2.2045134454562899E-3</v>
      </c>
      <c r="L166" s="1">
        <v>3.6455817028227199E-3</v>
      </c>
      <c r="M166" s="1">
        <v>3.04488790690051E-3</v>
      </c>
      <c r="N166" s="1">
        <v>1.6270069157924501E-2</v>
      </c>
      <c r="O166" s="1">
        <v>4.0810650729173397E-3</v>
      </c>
      <c r="P166" s="1">
        <v>3.4837681384479401E-3</v>
      </c>
      <c r="Q166" s="1">
        <v>3.34124991114256E-3</v>
      </c>
      <c r="R166" s="1">
        <v>6.1498051353791701E-3</v>
      </c>
      <c r="S166" s="1">
        <v>5.3394850183891103E-3</v>
      </c>
      <c r="T166" s="1">
        <v>5.9182971545802699E-3</v>
      </c>
      <c r="U166" s="1">
        <v>1.13330535581885E-2</v>
      </c>
      <c r="V166" s="1">
        <v>3.84514665418135E-3</v>
      </c>
      <c r="W166" s="1">
        <v>2.9910114962767E-2</v>
      </c>
      <c r="X166" s="1">
        <v>2.4543063880760902E-3</v>
      </c>
      <c r="Y166" s="1">
        <v>3.36426978983156E-3</v>
      </c>
      <c r="Z166" s="1">
        <v>3.77489431293566E-3</v>
      </c>
      <c r="AA166" s="1">
        <v>3.20897697390284E-3</v>
      </c>
      <c r="AB166" s="1">
        <v>2.4645780194827299E-3</v>
      </c>
      <c r="AC166" s="1">
        <v>3.2537954088193502E-3</v>
      </c>
      <c r="AD166" s="1">
        <v>2.8929440141622301E-3</v>
      </c>
      <c r="AE166" s="1">
        <v>2.3069867587106E-3</v>
      </c>
      <c r="AF166" s="1">
        <v>2.1411440544088301E-3</v>
      </c>
      <c r="AG166" s="1">
        <v>3.37120583985215E-3</v>
      </c>
      <c r="AH166" s="1">
        <v>2.13078345939096E-3</v>
      </c>
      <c r="AI166" s="1">
        <v>1.44581026239412E-3</v>
      </c>
      <c r="AJ166" s="1">
        <v>1.47890730686491E-3</v>
      </c>
      <c r="AK166" s="1">
        <v>1.3004487198869899E-3</v>
      </c>
      <c r="AL166" s="1">
        <v>1.3663372373710399E-3</v>
      </c>
      <c r="AM166" s="1">
        <v>1.6759127062862199E-3</v>
      </c>
      <c r="AN166" s="1">
        <v>2.8634242279154099E-3</v>
      </c>
      <c r="AO166" s="1">
        <v>1.49004255252575E-3</v>
      </c>
      <c r="AP166" s="1">
        <v>9.2501452381530498E-4</v>
      </c>
      <c r="AQ166" s="1">
        <v>4.4730676775212403E-3</v>
      </c>
      <c r="AR166" s="1">
        <v>3.8914565144664601E-3</v>
      </c>
      <c r="AS166" s="1">
        <v>8.1501716800741492E-3</v>
      </c>
      <c r="AT166" s="1">
        <v>0</v>
      </c>
    </row>
    <row r="167" spans="1:46" x14ac:dyDescent="0.3">
      <c r="A167" s="14" t="s">
        <v>61</v>
      </c>
      <c r="B167" s="1">
        <v>6.6776413789255001E-3</v>
      </c>
      <c r="C167" s="1">
        <v>5.9434054133403703E-3</v>
      </c>
      <c r="D167" s="1">
        <v>3.9361057893233502E-3</v>
      </c>
      <c r="E167" s="1">
        <v>4.2934935491771697E-3</v>
      </c>
      <c r="F167" s="1">
        <v>3.4457203176127102E-3</v>
      </c>
      <c r="G167" s="1">
        <v>7.9063223100178295E-3</v>
      </c>
      <c r="H167" s="1">
        <v>1.00272196452447E-2</v>
      </c>
      <c r="I167" s="1">
        <v>1.26642656025611</v>
      </c>
      <c r="J167" s="1">
        <v>8.3535010273252299E-3</v>
      </c>
      <c r="K167" s="1">
        <v>3.8843780612313802E-3</v>
      </c>
      <c r="L167" s="1">
        <v>8.7989594602502393E-3</v>
      </c>
      <c r="M167" s="1">
        <v>3.9283926241646498E-3</v>
      </c>
      <c r="N167" s="1">
        <v>1.0657772053152499E-2</v>
      </c>
      <c r="O167" s="1">
        <v>1.5659235831138998E-2</v>
      </c>
      <c r="P167" s="1">
        <v>8.2076783588877298E-3</v>
      </c>
      <c r="Q167" s="1">
        <v>1.19495016884198E-2</v>
      </c>
      <c r="R167" s="1">
        <v>8.7884741774769595E-3</v>
      </c>
      <c r="S167" s="1">
        <v>9.3569356589222295E-3</v>
      </c>
      <c r="T167" s="1">
        <v>1.03971210489239E-2</v>
      </c>
      <c r="U167" s="1">
        <v>9.8904722430426702E-3</v>
      </c>
      <c r="V167" s="1">
        <v>9.6080767639410494E-3</v>
      </c>
      <c r="W167" s="1">
        <v>7.0826961147178805E-2</v>
      </c>
      <c r="X167" s="1">
        <v>7.2215009010700602E-3</v>
      </c>
      <c r="Y167" s="1">
        <v>4.6440979822395404E-3</v>
      </c>
      <c r="Z167" s="1">
        <v>3.2703011902321701E-2</v>
      </c>
      <c r="AA167" s="1">
        <v>6.3951465135775798E-3</v>
      </c>
      <c r="AB167" s="1">
        <v>5.1111944311411301E-3</v>
      </c>
      <c r="AC167" s="1">
        <v>7.2889803981469204E-3</v>
      </c>
      <c r="AD167" s="1">
        <v>5.23936210451447E-3</v>
      </c>
      <c r="AE167" s="1">
        <v>5.0051552809355802E-3</v>
      </c>
      <c r="AF167" s="1">
        <v>1.60039783956627E-3</v>
      </c>
      <c r="AG167" s="1">
        <v>5.0744070921623996E-3</v>
      </c>
      <c r="AH167" s="1">
        <v>2.8645272423154398E-3</v>
      </c>
      <c r="AI167" s="1">
        <v>2.73299633240121E-3</v>
      </c>
      <c r="AJ167" s="1">
        <v>2.03561688533905E-3</v>
      </c>
      <c r="AK167" s="1">
        <v>1.96775494917886E-3</v>
      </c>
      <c r="AL167" s="1">
        <v>7.7168009547926002E-3</v>
      </c>
      <c r="AM167" s="1">
        <v>4.4273979884753498E-3</v>
      </c>
      <c r="AN167" s="1">
        <v>4.1238359338028E-3</v>
      </c>
      <c r="AO167" s="1">
        <v>2.0677848929610602E-3</v>
      </c>
      <c r="AP167" s="1">
        <v>1.5207244920595201E-3</v>
      </c>
      <c r="AQ167" s="1">
        <v>4.1132371157583201E-3</v>
      </c>
      <c r="AR167" s="1">
        <v>3.4559985529139001E-3</v>
      </c>
      <c r="AS167" s="1">
        <v>4.1691469881385401E-3</v>
      </c>
      <c r="AT167" s="1">
        <v>0</v>
      </c>
    </row>
    <row r="168" spans="1:46" x14ac:dyDescent="0.3">
      <c r="A168" s="14" t="s">
        <v>62</v>
      </c>
      <c r="B168" s="1">
        <v>1.72907885267591E-2</v>
      </c>
      <c r="C168" s="1">
        <v>1.53792426395936E-2</v>
      </c>
      <c r="D168" s="1">
        <v>1.06192869764332E-2</v>
      </c>
      <c r="E168" s="1">
        <v>1.07401587225734E-2</v>
      </c>
      <c r="F168" s="1">
        <v>9.0361836894102404E-3</v>
      </c>
      <c r="G168" s="1">
        <v>5.0827834577685499E-2</v>
      </c>
      <c r="H168" s="1">
        <v>2.4644277940901901E-2</v>
      </c>
      <c r="I168" s="1">
        <v>4.9900333039802201E-2</v>
      </c>
      <c r="J168" s="1">
        <v>1.4765183597356499</v>
      </c>
      <c r="K168" s="1">
        <v>1.08450471771065E-2</v>
      </c>
      <c r="L168" s="1">
        <v>2.8420375542122799E-2</v>
      </c>
      <c r="M168" s="1">
        <v>2.3333774448916201E-2</v>
      </c>
      <c r="N168" s="1">
        <v>3.6471433768956001E-2</v>
      </c>
      <c r="O168" s="1">
        <v>2.1854139943399398E-2</v>
      </c>
      <c r="P168" s="1">
        <v>1.38183788791205E-2</v>
      </c>
      <c r="Q168" s="1">
        <v>1.5477596433141699E-2</v>
      </c>
      <c r="R168" s="1">
        <v>2.8969577746388801E-2</v>
      </c>
      <c r="S168" s="1">
        <v>3.0256407082667601E-2</v>
      </c>
      <c r="T168" s="1">
        <v>1.7675552572546299E-2</v>
      </c>
      <c r="U168" s="1">
        <v>1.9354589197844201E-2</v>
      </c>
      <c r="V168" s="1">
        <v>1.39724207446134E-2</v>
      </c>
      <c r="W168" s="1">
        <v>2.9319313383817502E-2</v>
      </c>
      <c r="X168" s="1">
        <v>1.25716168781984E-2</v>
      </c>
      <c r="Y168" s="1">
        <v>1.0250647992681E-2</v>
      </c>
      <c r="Z168" s="1">
        <v>1.4290850109801001E-2</v>
      </c>
      <c r="AA168" s="1">
        <v>3.1451060447010702E-2</v>
      </c>
      <c r="AB168" s="1">
        <v>1.1543756683757501E-2</v>
      </c>
      <c r="AC168" s="1">
        <v>1.56416530822923E-2</v>
      </c>
      <c r="AD168" s="1">
        <v>1.4605580093862199E-2</v>
      </c>
      <c r="AE168" s="1">
        <v>1.1912336896967499E-2</v>
      </c>
      <c r="AF168" s="1">
        <v>1.4929835605254099E-2</v>
      </c>
      <c r="AG168" s="1">
        <v>2.2061052774270801E-2</v>
      </c>
      <c r="AH168" s="1">
        <v>0.17111940459800501</v>
      </c>
      <c r="AI168" s="1">
        <v>1.18743143157476E-2</v>
      </c>
      <c r="AJ168" s="1">
        <v>1.2567829245701901E-2</v>
      </c>
      <c r="AK168" s="1">
        <v>2.3767928001947401E-2</v>
      </c>
      <c r="AL168" s="1">
        <v>1.29923616696227E-2</v>
      </c>
      <c r="AM168" s="1">
        <v>1.7671089623953199E-2</v>
      </c>
      <c r="AN168" s="1">
        <v>1.9624383778313E-2</v>
      </c>
      <c r="AO168" s="1">
        <v>1.2866422613364801E-2</v>
      </c>
      <c r="AP168" s="1">
        <v>1.0100687931014001E-2</v>
      </c>
      <c r="AQ168" s="1">
        <v>1.04255756961464E-2</v>
      </c>
      <c r="AR168" s="1">
        <v>1.84643785821972E-2</v>
      </c>
      <c r="AS168" s="1">
        <v>1.7678913468861399E-2</v>
      </c>
      <c r="AT168" s="1">
        <v>0</v>
      </c>
    </row>
    <row r="169" spans="1:46" x14ac:dyDescent="0.3">
      <c r="A169" s="14" t="s">
        <v>63</v>
      </c>
      <c r="B169" s="1">
        <v>8.5625993705888498E-2</v>
      </c>
      <c r="C169" s="1">
        <v>8.2407432908108605E-2</v>
      </c>
      <c r="D169" s="1">
        <v>8.7158758454897498E-2</v>
      </c>
      <c r="E169" s="1">
        <v>8.6227612248632401E-2</v>
      </c>
      <c r="F169" s="1">
        <v>7.6361297197417494E-2</v>
      </c>
      <c r="G169" s="1">
        <v>7.0570218233244206E-2</v>
      </c>
      <c r="H169" s="1">
        <v>4.4018563579359897E-2</v>
      </c>
      <c r="I169" s="1">
        <v>6.1921270540330302E-2</v>
      </c>
      <c r="J169" s="1">
        <v>4.8412610807729302E-2</v>
      </c>
      <c r="K169" s="1">
        <v>1.15199157704472</v>
      </c>
      <c r="L169" s="1">
        <v>0.247792459328529</v>
      </c>
      <c r="M169" s="1">
        <v>5.2241071223370003E-2</v>
      </c>
      <c r="N169" s="1">
        <v>9.9196625984692505E-2</v>
      </c>
      <c r="O169" s="1">
        <v>8.6408476059197603E-2</v>
      </c>
      <c r="P169" s="1">
        <v>0.109268745265961</v>
      </c>
      <c r="Q169" s="1">
        <v>5.5482520684468302E-2</v>
      </c>
      <c r="R169" s="1">
        <v>5.2733787986838698E-2</v>
      </c>
      <c r="S169" s="1">
        <v>5.9128375031693998E-2</v>
      </c>
      <c r="T169" s="1">
        <v>5.0208621487539198E-2</v>
      </c>
      <c r="U169" s="1">
        <v>4.8403462392823102E-2</v>
      </c>
      <c r="V169" s="1">
        <v>4.2764164094487501E-2</v>
      </c>
      <c r="W169" s="1">
        <v>4.71188302506617E-2</v>
      </c>
      <c r="X169" s="1">
        <v>7.4722676589775397E-2</v>
      </c>
      <c r="Y169" s="1">
        <v>5.23174352617473E-2</v>
      </c>
      <c r="Z169" s="1">
        <v>6.4022176767940697E-2</v>
      </c>
      <c r="AA169" s="1">
        <v>4.6460786703438103E-2</v>
      </c>
      <c r="AB169" s="1">
        <v>0.15868235959268201</v>
      </c>
      <c r="AC169" s="1">
        <v>0.23716342007799299</v>
      </c>
      <c r="AD169" s="1">
        <v>0.26343891283593102</v>
      </c>
      <c r="AE169" s="1">
        <v>6.1402155954954102E-2</v>
      </c>
      <c r="AF169" s="1">
        <v>2.3762404960674399E-2</v>
      </c>
      <c r="AG169" s="1">
        <v>3.8918076752271297E-2</v>
      </c>
      <c r="AH169" s="1">
        <v>2.02719078566224E-2</v>
      </c>
      <c r="AI169" s="1">
        <v>1.5334870982667699E-2</v>
      </c>
      <c r="AJ169" s="1">
        <v>1.68233485466441E-2</v>
      </c>
      <c r="AK169" s="1">
        <v>1.7715531106216299E-2</v>
      </c>
      <c r="AL169" s="1">
        <v>2.12211384868864E-2</v>
      </c>
      <c r="AM169" s="1">
        <v>2.5479637798167101E-2</v>
      </c>
      <c r="AN169" s="1">
        <v>3.55565772728096E-2</v>
      </c>
      <c r="AO169" s="1">
        <v>1.7232621598945199E-2</v>
      </c>
      <c r="AP169" s="1">
        <v>1.47284214406388E-2</v>
      </c>
      <c r="AQ169" s="1">
        <v>3.0335912119115901E-2</v>
      </c>
      <c r="AR169" s="1">
        <v>3.2068851102439302E-2</v>
      </c>
      <c r="AS169" s="1">
        <v>2.59633335724411E-2</v>
      </c>
      <c r="AT169" s="1">
        <v>0</v>
      </c>
    </row>
    <row r="170" spans="1:46" x14ac:dyDescent="0.3">
      <c r="A170" s="14" t="s">
        <v>64</v>
      </c>
      <c r="B170" s="1">
        <v>0.10364720273301301</v>
      </c>
      <c r="C170" s="1">
        <v>3.0186969911861601E-2</v>
      </c>
      <c r="D170" s="1">
        <v>2.83709840320608E-2</v>
      </c>
      <c r="E170" s="1">
        <v>3.4019543692811002E-2</v>
      </c>
      <c r="F170" s="1">
        <v>3.8020511972349798E-2</v>
      </c>
      <c r="G170" s="1">
        <v>8.6730358496512699E-2</v>
      </c>
      <c r="H170" s="1">
        <v>6.7094293238633196E-2</v>
      </c>
      <c r="I170" s="1">
        <v>8.2378894170223801E-2</v>
      </c>
      <c r="J170" s="1">
        <v>6.1296614560779901E-2</v>
      </c>
      <c r="K170" s="1">
        <v>6.3078599939375701E-2</v>
      </c>
      <c r="L170" s="1">
        <v>1.2327071939623599</v>
      </c>
      <c r="M170" s="1">
        <v>0.120764162491716</v>
      </c>
      <c r="N170" s="1">
        <v>0.28081365255544999</v>
      </c>
      <c r="O170" s="1">
        <v>8.8559623046909397E-2</v>
      </c>
      <c r="P170" s="1">
        <v>3.8458475323534198E-2</v>
      </c>
      <c r="Q170" s="1">
        <v>3.7094571746568501E-2</v>
      </c>
      <c r="R170" s="1">
        <v>6.3761887258329306E-2</v>
      </c>
      <c r="S170" s="1">
        <v>8.3135800017357001E-2</v>
      </c>
      <c r="T170" s="1">
        <v>4.1172188932088197E-2</v>
      </c>
      <c r="U170" s="1">
        <v>5.0622809622287997E-2</v>
      </c>
      <c r="V170" s="1">
        <v>3.3408597413762599E-2</v>
      </c>
      <c r="W170" s="1">
        <v>5.7900780141213901E-2</v>
      </c>
      <c r="X170" s="1">
        <v>2.7500319464889102E-2</v>
      </c>
      <c r="Y170" s="1">
        <v>3.0209366015779001E-2</v>
      </c>
      <c r="Z170" s="1">
        <v>4.5178789115599999E-2</v>
      </c>
      <c r="AA170" s="1">
        <v>2.53775146969215E-2</v>
      </c>
      <c r="AB170" s="1">
        <v>2.4553396564271999E-2</v>
      </c>
      <c r="AC170" s="1">
        <v>3.7127687319956297E-2</v>
      </c>
      <c r="AD170" s="1">
        <v>3.0429650134447501E-2</v>
      </c>
      <c r="AE170" s="1">
        <v>1.7941375308772999E-2</v>
      </c>
      <c r="AF170" s="1">
        <v>9.2867326339575295E-3</v>
      </c>
      <c r="AG170" s="1">
        <v>3.5256477386367099E-2</v>
      </c>
      <c r="AH170" s="1">
        <v>1.7521502817621399E-2</v>
      </c>
      <c r="AI170" s="1">
        <v>8.8964125492573404E-3</v>
      </c>
      <c r="AJ170" s="1">
        <v>9.8620619262335396E-3</v>
      </c>
      <c r="AK170" s="1">
        <v>9.7372358942456692E-3</v>
      </c>
      <c r="AL170" s="1">
        <v>1.47862402749631E-2</v>
      </c>
      <c r="AM170" s="1">
        <v>1.7722576644806001E-2</v>
      </c>
      <c r="AN170" s="1">
        <v>2.1573585299841599E-2</v>
      </c>
      <c r="AO170" s="1">
        <v>8.2745806018670095E-3</v>
      </c>
      <c r="AP170" s="1">
        <v>8.9774074212272108E-3</v>
      </c>
      <c r="AQ170" s="1">
        <v>4.0293005277863302E-2</v>
      </c>
      <c r="AR170" s="1">
        <v>2.38264214693929E-2</v>
      </c>
      <c r="AS170" s="1">
        <v>2.3413856330124001E-2</v>
      </c>
      <c r="AT170" s="1">
        <v>0</v>
      </c>
    </row>
    <row r="171" spans="1:46" x14ac:dyDescent="0.3">
      <c r="A171" s="14" t="s">
        <v>65</v>
      </c>
      <c r="B171" s="1">
        <v>7.5540005441500999E-3</v>
      </c>
      <c r="C171" s="1">
        <v>4.2027971882006498E-3</v>
      </c>
      <c r="D171" s="1">
        <v>2.68513028470242E-3</v>
      </c>
      <c r="E171" s="1">
        <v>2.3149520102574901E-3</v>
      </c>
      <c r="F171" s="1">
        <v>2.8707527329146299E-3</v>
      </c>
      <c r="G171" s="1">
        <v>7.0272942383476896E-3</v>
      </c>
      <c r="H171" s="1">
        <v>4.5641406024653098E-3</v>
      </c>
      <c r="I171" s="1">
        <v>4.7927739458725402E-3</v>
      </c>
      <c r="J171" s="1">
        <v>3.7827447896804601E-3</v>
      </c>
      <c r="K171" s="1">
        <v>3.45633146704837E-3</v>
      </c>
      <c r="L171" s="1">
        <v>1.05215358556614E-2</v>
      </c>
      <c r="M171" s="1">
        <v>1.07159648620224</v>
      </c>
      <c r="N171" s="1">
        <v>1.1996188074289999E-2</v>
      </c>
      <c r="O171" s="1">
        <v>4.5576128488571798E-3</v>
      </c>
      <c r="P171" s="1">
        <v>4.6473188767883703E-3</v>
      </c>
      <c r="Q171" s="1">
        <v>3.1294972620382702E-3</v>
      </c>
      <c r="R171" s="1">
        <v>5.1810649957573299E-3</v>
      </c>
      <c r="S171" s="1">
        <v>5.1383241381878202E-3</v>
      </c>
      <c r="T171" s="1">
        <v>3.3903228225918799E-3</v>
      </c>
      <c r="U171" s="1">
        <v>4.3718797812434904E-3</v>
      </c>
      <c r="V171" s="1">
        <v>2.7219929382433102E-3</v>
      </c>
      <c r="W171" s="1">
        <v>3.9636992901414102E-3</v>
      </c>
      <c r="X171" s="1">
        <v>2.2431918742032301E-3</v>
      </c>
      <c r="Y171" s="1">
        <v>2.2323607940738801E-3</v>
      </c>
      <c r="Z171" s="1">
        <v>3.0888700728321701E-3</v>
      </c>
      <c r="AA171" s="1">
        <v>2.4030578684660301E-3</v>
      </c>
      <c r="AB171" s="1">
        <v>2.1297233971733498E-3</v>
      </c>
      <c r="AC171" s="1">
        <v>3.8720214314054099E-3</v>
      </c>
      <c r="AD171" s="1">
        <v>3.15261805874159E-3</v>
      </c>
      <c r="AE171" s="1">
        <v>1.5513236156447501E-3</v>
      </c>
      <c r="AF171" s="1">
        <v>8.8827489977405505E-4</v>
      </c>
      <c r="AG171" s="1">
        <v>3.34053660993807E-3</v>
      </c>
      <c r="AH171" s="1">
        <v>1.72098373910619E-3</v>
      </c>
      <c r="AI171" s="1">
        <v>1.0771883070427801E-3</v>
      </c>
      <c r="AJ171" s="1">
        <v>1.4161368056264899E-3</v>
      </c>
      <c r="AK171" s="1">
        <v>1.12126730852346E-3</v>
      </c>
      <c r="AL171" s="1">
        <v>1.2305757771318301E-3</v>
      </c>
      <c r="AM171" s="1">
        <v>2.36260447169647E-3</v>
      </c>
      <c r="AN171" s="1">
        <v>2.0593413379509698E-3</v>
      </c>
      <c r="AO171" s="1">
        <v>9.2814647781963697E-4</v>
      </c>
      <c r="AP171" s="1">
        <v>8.4706603292607197E-4</v>
      </c>
      <c r="AQ171" s="1">
        <v>5.0026862328549797E-2</v>
      </c>
      <c r="AR171" s="1">
        <v>2.7384562329103401E-3</v>
      </c>
      <c r="AS171" s="1">
        <v>2.3373911738582098E-3</v>
      </c>
      <c r="AT171" s="1">
        <v>0</v>
      </c>
    </row>
    <row r="172" spans="1:46" x14ac:dyDescent="0.3">
      <c r="A172" s="14" t="s">
        <v>66</v>
      </c>
      <c r="B172" s="1">
        <v>1.8051167504177498E-2</v>
      </c>
      <c r="C172" s="1">
        <v>1.67087137298647E-2</v>
      </c>
      <c r="D172" s="1">
        <v>1.24947079410858E-2</v>
      </c>
      <c r="E172" s="1">
        <v>1.1840155011495599E-2</v>
      </c>
      <c r="F172" s="1">
        <v>1.35622793837737E-2</v>
      </c>
      <c r="G172" s="1">
        <v>4.0089807220582099E-2</v>
      </c>
      <c r="H172" s="1">
        <v>5.73294660709424E-2</v>
      </c>
      <c r="I172" s="1">
        <v>6.0067768080534503E-2</v>
      </c>
      <c r="J172" s="1">
        <v>4.6341427477458098E-2</v>
      </c>
      <c r="K172" s="1">
        <v>1.07649012537253E-2</v>
      </c>
      <c r="L172" s="1">
        <v>3.5530227644990399E-2</v>
      </c>
      <c r="M172" s="1">
        <v>2.4490062517220201E-2</v>
      </c>
      <c r="N172" s="1">
        <v>1.1504930354202201</v>
      </c>
      <c r="O172" s="1">
        <v>2.6272705884907901E-2</v>
      </c>
      <c r="P172" s="1">
        <v>1.6766035561541E-2</v>
      </c>
      <c r="Q172" s="1">
        <v>2.5382552945617899E-2</v>
      </c>
      <c r="R172" s="1">
        <v>0.10183362870094501</v>
      </c>
      <c r="S172" s="1">
        <v>6.6501411680258193E-2</v>
      </c>
      <c r="T172" s="1">
        <v>3.6606309014132199E-2</v>
      </c>
      <c r="U172" s="1">
        <v>6.9030562147510993E-2</v>
      </c>
      <c r="V172" s="1">
        <v>2.83548162687767E-2</v>
      </c>
      <c r="W172" s="1">
        <v>6.8933000462521002E-2</v>
      </c>
      <c r="X172" s="1">
        <v>1.2861210755177399E-2</v>
      </c>
      <c r="Y172" s="1">
        <v>2.5004332961955901E-2</v>
      </c>
      <c r="Z172" s="1">
        <v>4.0706692053482402E-2</v>
      </c>
      <c r="AA172" s="1">
        <v>1.4201249885419801E-2</v>
      </c>
      <c r="AB172" s="1">
        <v>1.70883539866373E-2</v>
      </c>
      <c r="AC172" s="1">
        <v>1.3912434360340399E-2</v>
      </c>
      <c r="AD172" s="1">
        <v>1.22325984477608E-2</v>
      </c>
      <c r="AE172" s="1">
        <v>1.3046828172495001E-2</v>
      </c>
      <c r="AF172" s="1">
        <v>5.8087784661388104E-3</v>
      </c>
      <c r="AG172" s="1">
        <v>1.5876451586487601E-2</v>
      </c>
      <c r="AH172" s="1">
        <v>1.0909455312470499E-2</v>
      </c>
      <c r="AI172" s="1">
        <v>6.8684030749892001E-3</v>
      </c>
      <c r="AJ172" s="1">
        <v>6.8761832558321499E-3</v>
      </c>
      <c r="AK172" s="1">
        <v>7.6061554957551902E-3</v>
      </c>
      <c r="AL172" s="1">
        <v>8.9760235386813804E-3</v>
      </c>
      <c r="AM172" s="1">
        <v>9.9497350699828298E-3</v>
      </c>
      <c r="AN172" s="1">
        <v>1.0618757990149301E-2</v>
      </c>
      <c r="AO172" s="1">
        <v>6.11996790735475E-3</v>
      </c>
      <c r="AP172" s="1">
        <v>3.6856130734253898E-3</v>
      </c>
      <c r="AQ172" s="1">
        <v>1.45318499362225E-2</v>
      </c>
      <c r="AR172" s="1">
        <v>8.5520231892477899E-3</v>
      </c>
      <c r="AS172" s="1">
        <v>7.6954649131384303E-3</v>
      </c>
      <c r="AT172" s="1">
        <v>0</v>
      </c>
    </row>
    <row r="173" spans="1:46" x14ac:dyDescent="0.3">
      <c r="A173" s="14" t="s">
        <v>67</v>
      </c>
      <c r="B173" s="1">
        <v>8.9811079866513894E-3</v>
      </c>
      <c r="C173" s="1">
        <v>1.0436145348221499E-2</v>
      </c>
      <c r="D173" s="1">
        <v>1.1022721328499401E-2</v>
      </c>
      <c r="E173" s="1">
        <v>3.0152565405623399E-2</v>
      </c>
      <c r="F173" s="1">
        <v>1.6757482371024202E-2</v>
      </c>
      <c r="G173" s="1">
        <v>1.6878715627484001E-2</v>
      </c>
      <c r="H173" s="1">
        <v>9.6363932818203206E-3</v>
      </c>
      <c r="I173" s="1">
        <v>1.8382054466285502E-2</v>
      </c>
      <c r="J173" s="1">
        <v>7.82440566424197E-3</v>
      </c>
      <c r="K173" s="1">
        <v>7.1969826828081999E-3</v>
      </c>
      <c r="L173" s="1">
        <v>1.0646536390504601E-2</v>
      </c>
      <c r="M173" s="1">
        <v>9.9625763250004405E-3</v>
      </c>
      <c r="N173" s="1">
        <v>1.39411653430098E-2</v>
      </c>
      <c r="O173" s="1">
        <v>1.1515456995589299</v>
      </c>
      <c r="P173" s="1">
        <v>1.3498525764583401E-2</v>
      </c>
      <c r="Q173" s="1">
        <v>1.07125839191319E-2</v>
      </c>
      <c r="R173" s="1">
        <v>1.5496715265710099E-2</v>
      </c>
      <c r="S173" s="1">
        <v>1.9687833248442199E-2</v>
      </c>
      <c r="T173" s="1">
        <v>1.45292042606983E-2</v>
      </c>
      <c r="U173" s="1">
        <v>2.1722084743890899E-2</v>
      </c>
      <c r="V173" s="1">
        <v>1.17771693829678E-2</v>
      </c>
      <c r="W173" s="1">
        <v>1.31644052868815E-2</v>
      </c>
      <c r="X173" s="1">
        <v>1.10608388649717E-2</v>
      </c>
      <c r="Y173" s="1">
        <v>1.16829323576036E-2</v>
      </c>
      <c r="Z173" s="1">
        <v>0.11228770935732001</v>
      </c>
      <c r="AA173" s="1">
        <v>9.4728565699259606E-3</v>
      </c>
      <c r="AB173" s="1">
        <v>6.7810746971086397E-3</v>
      </c>
      <c r="AC173" s="1">
        <v>1.6802374102650199E-2</v>
      </c>
      <c r="AD173" s="1">
        <v>9.0858317094912808E-3</v>
      </c>
      <c r="AE173" s="1">
        <v>1.18217403446717E-2</v>
      </c>
      <c r="AF173" s="1">
        <v>2.4213005948896102E-3</v>
      </c>
      <c r="AG173" s="1">
        <v>9.4766368291441996E-3</v>
      </c>
      <c r="AH173" s="1">
        <v>4.1902666298245603E-3</v>
      </c>
      <c r="AI173" s="1">
        <v>4.9705107448892102E-3</v>
      </c>
      <c r="AJ173" s="1">
        <v>3.9830524074748802E-3</v>
      </c>
      <c r="AK173" s="1">
        <v>3.4652949114281099E-3</v>
      </c>
      <c r="AL173" s="1">
        <v>2.5274524005710799E-2</v>
      </c>
      <c r="AM173" s="1">
        <v>7.4199538564646899E-3</v>
      </c>
      <c r="AN173" s="1">
        <v>6.2233261148164198E-3</v>
      </c>
      <c r="AO173" s="1">
        <v>4.6915266967952904E-3</v>
      </c>
      <c r="AP173" s="1">
        <v>3.1431713177982302E-3</v>
      </c>
      <c r="AQ173" s="1">
        <v>6.4335552202098804E-3</v>
      </c>
      <c r="AR173" s="1">
        <v>6.3104485960592703E-3</v>
      </c>
      <c r="AS173" s="1">
        <v>5.3145876884743599E-3</v>
      </c>
      <c r="AT173" s="1">
        <v>0</v>
      </c>
    </row>
    <row r="174" spans="1:46" x14ac:dyDescent="0.3">
      <c r="A174" s="14" t="s">
        <v>68</v>
      </c>
      <c r="B174" s="1">
        <v>2.7796304492879301E-2</v>
      </c>
      <c r="C174" s="1">
        <v>2.82021461553832E-2</v>
      </c>
      <c r="D174" s="1">
        <v>7.8814388274840996E-2</v>
      </c>
      <c r="E174" s="1">
        <v>5.9262575909632402E-2</v>
      </c>
      <c r="F174" s="1">
        <v>0.13848504244081999</v>
      </c>
      <c r="G174" s="1">
        <v>4.1951865736830997E-2</v>
      </c>
      <c r="H174" s="1">
        <v>3.5858390933834701E-2</v>
      </c>
      <c r="I174" s="1">
        <v>0.103597404900093</v>
      </c>
      <c r="J174" s="1">
        <v>3.7019944419144003E-2</v>
      </c>
      <c r="K174" s="1">
        <v>4.1906104479515198E-2</v>
      </c>
      <c r="L174" s="1">
        <v>5.0406717918265502E-2</v>
      </c>
      <c r="M174" s="1">
        <v>2.9218110262592901E-2</v>
      </c>
      <c r="N174" s="1">
        <v>7.9802251125768095E-2</v>
      </c>
      <c r="O174" s="1">
        <v>7.6200968841185504E-2</v>
      </c>
      <c r="P174" s="1">
        <v>1.5287511981081801</v>
      </c>
      <c r="Q174" s="1">
        <v>0.42069038971864198</v>
      </c>
      <c r="R174" s="1">
        <v>9.7069047110437207E-2</v>
      </c>
      <c r="S174" s="1">
        <v>0.25817682631820399</v>
      </c>
      <c r="T174" s="1">
        <v>0.24886957017626299</v>
      </c>
      <c r="U174" s="1">
        <v>0.158619101330784</v>
      </c>
      <c r="V174" s="1">
        <v>0.19264678516533101</v>
      </c>
      <c r="W174" s="1">
        <v>0.111963943018733</v>
      </c>
      <c r="X174" s="1">
        <v>4.2731766157270402E-2</v>
      </c>
      <c r="Y174" s="1">
        <v>4.1621823662170598E-2</v>
      </c>
      <c r="Z174" s="1">
        <v>0.12173223627139799</v>
      </c>
      <c r="AA174" s="1">
        <v>3.2665110101351501E-2</v>
      </c>
      <c r="AB174" s="1">
        <v>4.9379467283139501E-2</v>
      </c>
      <c r="AC174" s="1">
        <v>3.9378809904742698E-2</v>
      </c>
      <c r="AD174" s="1">
        <v>3.1936491009685E-2</v>
      </c>
      <c r="AE174" s="1">
        <v>3.0238705365465801E-2</v>
      </c>
      <c r="AF174" s="1">
        <v>8.8482174783410302E-3</v>
      </c>
      <c r="AG174" s="1">
        <v>2.3249746828492301E-2</v>
      </c>
      <c r="AH174" s="1">
        <v>1.422188613295E-2</v>
      </c>
      <c r="AI174" s="1">
        <v>1.57141751224848E-2</v>
      </c>
      <c r="AJ174" s="1">
        <v>1.47447707466137E-2</v>
      </c>
      <c r="AK174" s="1">
        <v>1.1403448754384E-2</v>
      </c>
      <c r="AL174" s="1">
        <v>2.42527403013072E-2</v>
      </c>
      <c r="AM174" s="1">
        <v>2.9289976218319899E-2</v>
      </c>
      <c r="AN174" s="1">
        <v>4.4067933997747402E-2</v>
      </c>
      <c r="AO174" s="1">
        <v>1.0254333098481E-2</v>
      </c>
      <c r="AP174" s="1">
        <v>8.6580125733836302E-3</v>
      </c>
      <c r="AQ174" s="1">
        <v>1.6925950838483798E-2</v>
      </c>
      <c r="AR174" s="1">
        <v>1.8504930702969099E-2</v>
      </c>
      <c r="AS174" s="1">
        <v>1.72518797290282E-2</v>
      </c>
      <c r="AT174" s="1">
        <v>0</v>
      </c>
    </row>
    <row r="175" spans="1:46" x14ac:dyDescent="0.3">
      <c r="A175" s="14" t="s">
        <v>69</v>
      </c>
      <c r="B175" s="1">
        <v>1.8038947354645299E-2</v>
      </c>
      <c r="C175" s="1">
        <v>1.9347800017218399E-2</v>
      </c>
      <c r="D175" s="1">
        <v>1.8517462145328099E-2</v>
      </c>
      <c r="E175" s="1">
        <v>2.03213612547135E-2</v>
      </c>
      <c r="F175" s="1">
        <v>2.2357212299316202E-2</v>
      </c>
      <c r="G175" s="1">
        <v>4.2213447861295501E-2</v>
      </c>
      <c r="H175" s="1">
        <v>3.2864387735494001E-2</v>
      </c>
      <c r="I175" s="1">
        <v>5.67738756240719E-2</v>
      </c>
      <c r="J175" s="1">
        <v>2.7296123823898299E-2</v>
      </c>
      <c r="K175" s="1">
        <v>1.68187753031535E-2</v>
      </c>
      <c r="L175" s="1">
        <v>2.6176322621498101E-2</v>
      </c>
      <c r="M175" s="1">
        <v>1.6717715250253201E-2</v>
      </c>
      <c r="N175" s="1">
        <v>6.2260871494115799E-2</v>
      </c>
      <c r="O175" s="1">
        <v>2.8195009508364999E-2</v>
      </c>
      <c r="P175" s="1">
        <v>5.1917014839765602E-2</v>
      </c>
      <c r="Q175" s="1">
        <v>1.2053563290476099</v>
      </c>
      <c r="R175" s="1">
        <v>6.5793890434301602E-2</v>
      </c>
      <c r="S175" s="1">
        <v>7.7205233327484399E-2</v>
      </c>
      <c r="T175" s="1">
        <v>0.17572719653313901</v>
      </c>
      <c r="U175" s="1">
        <v>0.124926533013841</v>
      </c>
      <c r="V175" s="1">
        <v>6.8450592967340296E-2</v>
      </c>
      <c r="W175" s="1">
        <v>7.5584904938522796E-2</v>
      </c>
      <c r="X175" s="1">
        <v>2.57813543097903E-2</v>
      </c>
      <c r="Y175" s="1">
        <v>2.30214216490469E-2</v>
      </c>
      <c r="Z175" s="1">
        <v>7.8894690953265095E-2</v>
      </c>
      <c r="AA175" s="1">
        <v>2.03882385784009E-2</v>
      </c>
      <c r="AB175" s="1">
        <v>1.8339805565417599E-2</v>
      </c>
      <c r="AC175" s="1">
        <v>1.9925593230252E-2</v>
      </c>
      <c r="AD175" s="1">
        <v>1.8909428697123601E-2</v>
      </c>
      <c r="AE175" s="1">
        <v>2.1574969350808899E-2</v>
      </c>
      <c r="AF175" s="1">
        <v>6.0514872467112204E-3</v>
      </c>
      <c r="AG175" s="1">
        <v>1.8342168234389999E-2</v>
      </c>
      <c r="AH175" s="1">
        <v>9.8098511259532596E-3</v>
      </c>
      <c r="AI175" s="1">
        <v>1.20454731634128E-2</v>
      </c>
      <c r="AJ175" s="1">
        <v>9.9830712650770103E-3</v>
      </c>
      <c r="AK175" s="1">
        <v>7.0020743392471196E-3</v>
      </c>
      <c r="AL175" s="1">
        <v>1.4175118744197201E-2</v>
      </c>
      <c r="AM175" s="1">
        <v>1.12036675749633E-2</v>
      </c>
      <c r="AN175" s="1">
        <v>1.3157986638509801E-2</v>
      </c>
      <c r="AO175" s="1">
        <v>7.3068923257450097E-3</v>
      </c>
      <c r="AP175" s="1">
        <v>7.2830901830274897E-3</v>
      </c>
      <c r="AQ175" s="1">
        <v>1.25354559432207E-2</v>
      </c>
      <c r="AR175" s="1">
        <v>1.39527506088299E-2</v>
      </c>
      <c r="AS175" s="1">
        <v>1.06363077348566E-2</v>
      </c>
      <c r="AT175" s="1">
        <v>0</v>
      </c>
    </row>
    <row r="176" spans="1:46" x14ac:dyDescent="0.3">
      <c r="A176" s="14" t="s">
        <v>70</v>
      </c>
      <c r="B176" s="1">
        <v>1.52652531198315E-2</v>
      </c>
      <c r="C176" s="1">
        <v>1.74023468765543E-2</v>
      </c>
      <c r="D176" s="1">
        <v>2.8367928809147101E-2</v>
      </c>
      <c r="E176" s="1">
        <v>1.82266196601777E-2</v>
      </c>
      <c r="F176" s="1">
        <v>4.0430634041430297E-2</v>
      </c>
      <c r="G176" s="1">
        <v>2.1859507185030901E-2</v>
      </c>
      <c r="H176" s="1">
        <v>2.6236310219514499E-2</v>
      </c>
      <c r="I176" s="1">
        <v>2.26123470723931E-2</v>
      </c>
      <c r="J176" s="1">
        <v>2.43803978435394E-2</v>
      </c>
      <c r="K176" s="1">
        <v>2.0412590345787698E-2</v>
      </c>
      <c r="L176" s="1">
        <v>2.3274498638009899E-2</v>
      </c>
      <c r="M176" s="1">
        <v>1.8433285239738799E-2</v>
      </c>
      <c r="N176" s="1">
        <v>4.1680886140445801E-2</v>
      </c>
      <c r="O176" s="1">
        <v>2.0281712780394898E-2</v>
      </c>
      <c r="P176" s="1">
        <v>2.3733842662835201E-2</v>
      </c>
      <c r="Q176" s="1">
        <v>2.8964951778661801E-2</v>
      </c>
      <c r="R176" s="1">
        <v>1.80768274898392</v>
      </c>
      <c r="S176" s="1">
        <v>0.10919782201350101</v>
      </c>
      <c r="T176" s="1">
        <v>6.2790924099415599E-2</v>
      </c>
      <c r="U176" s="1">
        <v>0.136580185523166</v>
      </c>
      <c r="V176" s="1">
        <v>2.7862509000842299E-2</v>
      </c>
      <c r="W176" s="1">
        <v>0.14141785653236499</v>
      </c>
      <c r="X176" s="1">
        <v>2.7164899229359399E-2</v>
      </c>
      <c r="Y176" s="1">
        <v>2.3914120201277402E-2</v>
      </c>
      <c r="Z176" s="1">
        <v>2.94939796934208E-2</v>
      </c>
      <c r="AA176" s="1">
        <v>2.86314536040344E-2</v>
      </c>
      <c r="AB176" s="1">
        <v>2.1991967827382702E-2</v>
      </c>
      <c r="AC176" s="1">
        <v>2.7026845212115801E-2</v>
      </c>
      <c r="AD176" s="1">
        <v>2.6936695734416798E-2</v>
      </c>
      <c r="AE176" s="1">
        <v>2.3271734686749701E-2</v>
      </c>
      <c r="AF176" s="1">
        <v>2.12129142582674E-2</v>
      </c>
      <c r="AG176" s="1">
        <v>1.8910173847844401E-2</v>
      </c>
      <c r="AH176" s="1">
        <v>1.9322842094161002E-2</v>
      </c>
      <c r="AI176" s="1">
        <v>3.6476735940790303E-2</v>
      </c>
      <c r="AJ176" s="1">
        <v>5.3502653804146601E-2</v>
      </c>
      <c r="AK176" s="1">
        <v>2.2090196050577202E-2</v>
      </c>
      <c r="AL176" s="1">
        <v>1.48082601394335E-2</v>
      </c>
      <c r="AM176" s="1">
        <v>2.2666409437755601E-2</v>
      </c>
      <c r="AN176" s="1">
        <v>2.1925775150884098E-2</v>
      </c>
      <c r="AO176" s="1">
        <v>1.17749218321145E-2</v>
      </c>
      <c r="AP176" s="1">
        <v>1.4205232637962001E-2</v>
      </c>
      <c r="AQ176" s="1">
        <v>2.3056422233860799E-2</v>
      </c>
      <c r="AR176" s="1">
        <v>1.9362544421279E-2</v>
      </c>
      <c r="AS176" s="1">
        <v>2.1072496703010701E-2</v>
      </c>
      <c r="AT176" s="1">
        <v>0</v>
      </c>
    </row>
    <row r="177" spans="1:46" x14ac:dyDescent="0.3">
      <c r="A177" s="14" t="s">
        <v>71</v>
      </c>
      <c r="B177" s="1">
        <v>1.5063832053568E-2</v>
      </c>
      <c r="C177" s="1">
        <v>1.5568434547206999E-2</v>
      </c>
      <c r="D177" s="1">
        <v>1.6772642913525902E-2</v>
      </c>
      <c r="E177" s="1">
        <v>1.7041777430348699E-2</v>
      </c>
      <c r="F177" s="1">
        <v>1.88161851666344E-2</v>
      </c>
      <c r="G177" s="1">
        <v>1.95417343453957E-2</v>
      </c>
      <c r="H177" s="1">
        <v>2.2095152345348999E-2</v>
      </c>
      <c r="I177" s="1">
        <v>2.1065824418788199E-2</v>
      </c>
      <c r="J177" s="1">
        <v>2.15087711222623E-2</v>
      </c>
      <c r="K177" s="1">
        <v>1.7533445726821702E-2</v>
      </c>
      <c r="L177" s="1">
        <v>2.2719579311244902E-2</v>
      </c>
      <c r="M177" s="1">
        <v>1.41944238076844E-2</v>
      </c>
      <c r="N177" s="1">
        <v>2.8594851375392499E-2</v>
      </c>
      <c r="O177" s="1">
        <v>2.04331326287054E-2</v>
      </c>
      <c r="P177" s="1">
        <v>2.5268066065506401E-2</v>
      </c>
      <c r="Q177" s="1">
        <v>3.2111187577498701E-2</v>
      </c>
      <c r="R177" s="1">
        <v>0.17756780283857099</v>
      </c>
      <c r="S177" s="1">
        <v>1.1364122911282299</v>
      </c>
      <c r="T177" s="1">
        <v>9.2102826012566502E-2</v>
      </c>
      <c r="U177" s="1">
        <v>9.6746921364923605E-2</v>
      </c>
      <c r="V177" s="1">
        <v>4.6407496119797699E-2</v>
      </c>
      <c r="W177" s="1">
        <v>5.2557274863990602E-2</v>
      </c>
      <c r="X177" s="1">
        <v>3.0331837754887198E-2</v>
      </c>
      <c r="Y177" s="1">
        <v>1.7788035750062301E-2</v>
      </c>
      <c r="Z177" s="1">
        <v>4.8282936733558497E-2</v>
      </c>
      <c r="AA177" s="1">
        <v>1.8269935888119999E-2</v>
      </c>
      <c r="AB177" s="1">
        <v>1.7548038862239899E-2</v>
      </c>
      <c r="AC177" s="1">
        <v>2.39574294584987E-2</v>
      </c>
      <c r="AD177" s="1">
        <v>1.8843753907935398E-2</v>
      </c>
      <c r="AE177" s="1">
        <v>1.62043136429116E-2</v>
      </c>
      <c r="AF177" s="1">
        <v>6.8846067545485197E-3</v>
      </c>
      <c r="AG177" s="1">
        <v>1.60374498311322E-2</v>
      </c>
      <c r="AH177" s="1">
        <v>9.6779478039817207E-3</v>
      </c>
      <c r="AI177" s="1">
        <v>1.92382167453541E-2</v>
      </c>
      <c r="AJ177" s="1">
        <v>1.40143617851986E-2</v>
      </c>
      <c r="AK177" s="1">
        <v>7.4240047755127596E-3</v>
      </c>
      <c r="AL177" s="1">
        <v>1.1960427702012701E-2</v>
      </c>
      <c r="AM177" s="1">
        <v>1.2818468905454501E-2</v>
      </c>
      <c r="AN177" s="1">
        <v>1.23864688273519E-2</v>
      </c>
      <c r="AO177" s="1">
        <v>7.1876917722649798E-3</v>
      </c>
      <c r="AP177" s="1">
        <v>5.3553878433482797E-3</v>
      </c>
      <c r="AQ177" s="1">
        <v>1.02357052236117E-2</v>
      </c>
      <c r="AR177" s="1">
        <v>1.13845925517287E-2</v>
      </c>
      <c r="AS177" s="1">
        <v>1.01107835551838E-2</v>
      </c>
      <c r="AT177" s="1">
        <v>0</v>
      </c>
    </row>
    <row r="178" spans="1:46" x14ac:dyDescent="0.3">
      <c r="A178" s="14" t="s">
        <v>72</v>
      </c>
      <c r="B178" s="1">
        <v>2.9062533856991399E-2</v>
      </c>
      <c r="C178" s="1">
        <v>3.1750461698267E-2</v>
      </c>
      <c r="D178" s="1">
        <v>3.2348708258934697E-2</v>
      </c>
      <c r="E178" s="1">
        <v>4.3316279157674699E-2</v>
      </c>
      <c r="F178" s="1">
        <v>3.2316965800253103E-2</v>
      </c>
      <c r="G178" s="1">
        <v>2.9437022805696499E-2</v>
      </c>
      <c r="H178" s="1">
        <v>2.55207070311495E-2</v>
      </c>
      <c r="I178" s="1">
        <v>2.7951443677708E-2</v>
      </c>
      <c r="J178" s="1">
        <v>4.0303959037576199E-2</v>
      </c>
      <c r="K178" s="1">
        <v>2.29799505042751E-2</v>
      </c>
      <c r="L178" s="1">
        <v>3.1905397055996099E-2</v>
      </c>
      <c r="M178" s="1">
        <v>1.8493378664014501E-2</v>
      </c>
      <c r="N178" s="1">
        <v>3.9414149998447202E-2</v>
      </c>
      <c r="O178" s="1">
        <v>3.5342920019613401E-2</v>
      </c>
      <c r="P178" s="1">
        <v>4.8341195969962399E-2</v>
      </c>
      <c r="Q178" s="1">
        <v>4.4190678513313097E-2</v>
      </c>
      <c r="R178" s="1">
        <v>6.4628508862695694E-2</v>
      </c>
      <c r="S178" s="1">
        <v>6.8565476269053599E-2</v>
      </c>
      <c r="T178" s="1">
        <v>1.16548436534361</v>
      </c>
      <c r="U178" s="1">
        <v>0.26510946722659801</v>
      </c>
      <c r="V178" s="1">
        <v>5.07970272344739E-2</v>
      </c>
      <c r="W178" s="1">
        <v>4.4759661724284402E-2</v>
      </c>
      <c r="X178" s="1">
        <v>2.7278721660518999E-2</v>
      </c>
      <c r="Y178" s="1">
        <v>2.7808075523473499E-2</v>
      </c>
      <c r="Z178" s="1">
        <v>3.6591534495927801E-2</v>
      </c>
      <c r="AA178" s="1">
        <v>2.9134298414046099E-2</v>
      </c>
      <c r="AB178" s="1">
        <v>2.3372285761527899E-2</v>
      </c>
      <c r="AC178" s="1">
        <v>2.2453561660840601E-2</v>
      </c>
      <c r="AD178" s="1">
        <v>2.16208533542703E-2</v>
      </c>
      <c r="AE178" s="1">
        <v>2.369099505477E-2</v>
      </c>
      <c r="AF178" s="1">
        <v>6.1380592941683203E-3</v>
      </c>
      <c r="AG178" s="1">
        <v>1.7117973319062299E-2</v>
      </c>
      <c r="AH178" s="1">
        <v>1.19813520288642E-2</v>
      </c>
      <c r="AI178" s="1">
        <v>9.4253024179801505E-3</v>
      </c>
      <c r="AJ178" s="1">
        <v>1.13928502007541E-2</v>
      </c>
      <c r="AK178" s="1">
        <v>8.1701131889936694E-3</v>
      </c>
      <c r="AL178" s="1">
        <v>1.3769247731169099E-2</v>
      </c>
      <c r="AM178" s="1">
        <v>1.28576973713112E-2</v>
      </c>
      <c r="AN178" s="1">
        <v>1.3903051568608899E-2</v>
      </c>
      <c r="AO178" s="1">
        <v>6.0476700312855304E-3</v>
      </c>
      <c r="AP178" s="1">
        <v>5.0526912718914397E-3</v>
      </c>
      <c r="AQ178" s="1">
        <v>1.06508696054054E-2</v>
      </c>
      <c r="AR178" s="1">
        <v>1.10386068805842E-2</v>
      </c>
      <c r="AS178" s="1">
        <v>1.33171801067332E-2</v>
      </c>
      <c r="AT178" s="1">
        <v>0</v>
      </c>
    </row>
    <row r="179" spans="1:46" x14ac:dyDescent="0.3">
      <c r="A179" s="14" t="s">
        <v>73</v>
      </c>
      <c r="B179" s="1">
        <v>1.22753881613665E-2</v>
      </c>
      <c r="C179" s="1">
        <v>1.53701914426122E-2</v>
      </c>
      <c r="D179" s="1">
        <v>1.42714557146106E-2</v>
      </c>
      <c r="E179" s="1">
        <v>1.49336305504718E-2</v>
      </c>
      <c r="F179" s="1">
        <v>1.3370729440776099E-2</v>
      </c>
      <c r="G179" s="1">
        <v>1.47998338845451E-2</v>
      </c>
      <c r="H179" s="1">
        <v>1.9174395265475E-2</v>
      </c>
      <c r="I179" s="1">
        <v>1.5197736412824001E-2</v>
      </c>
      <c r="J179" s="1">
        <v>1.43821809100551E-2</v>
      </c>
      <c r="K179" s="1">
        <v>1.0949147199112601E-2</v>
      </c>
      <c r="L179" s="1">
        <v>1.36512432431623E-2</v>
      </c>
      <c r="M179" s="1">
        <v>9.2517487008030308E-3</v>
      </c>
      <c r="N179" s="1">
        <v>2.5600725721608701E-2</v>
      </c>
      <c r="O179" s="1">
        <v>1.8767391271035001E-2</v>
      </c>
      <c r="P179" s="1">
        <v>3.2851641882451002E-2</v>
      </c>
      <c r="Q179" s="1">
        <v>2.5923925222301501E-2</v>
      </c>
      <c r="R179" s="1">
        <v>4.4202576646837501E-2</v>
      </c>
      <c r="S179" s="1">
        <v>3.0263357350144501E-2</v>
      </c>
      <c r="T179" s="1">
        <v>4.4105098790634498E-2</v>
      </c>
      <c r="U179" s="1">
        <v>1.23433185388964</v>
      </c>
      <c r="V179" s="1">
        <v>5.3372787324568301E-2</v>
      </c>
      <c r="W179" s="1">
        <v>2.2270290226527701E-2</v>
      </c>
      <c r="X179" s="1">
        <v>1.22198619412333E-2</v>
      </c>
      <c r="Y179" s="1">
        <v>1.6630224493711501E-2</v>
      </c>
      <c r="Z179" s="1">
        <v>2.1367387190353401E-2</v>
      </c>
      <c r="AA179" s="1">
        <v>2.5973344646920301E-2</v>
      </c>
      <c r="AB179" s="1">
        <v>2.6980706796322002E-2</v>
      </c>
      <c r="AC179" s="1">
        <v>2.6523833424755599E-2</v>
      </c>
      <c r="AD179" s="1">
        <v>1.43605384305597E-2</v>
      </c>
      <c r="AE179" s="1">
        <v>1.63698433583871E-2</v>
      </c>
      <c r="AF179" s="1">
        <v>5.3886398466636504E-3</v>
      </c>
      <c r="AG179" s="1">
        <v>9.4438500460735705E-3</v>
      </c>
      <c r="AH179" s="1">
        <v>5.9813412622777198E-3</v>
      </c>
      <c r="AI179" s="1">
        <v>6.0228961321094898E-3</v>
      </c>
      <c r="AJ179" s="1">
        <v>6.3178741852685802E-3</v>
      </c>
      <c r="AK179" s="1">
        <v>4.5843190549565002E-3</v>
      </c>
      <c r="AL179" s="1">
        <v>6.5832197523135599E-3</v>
      </c>
      <c r="AM179" s="1">
        <v>7.0544176925015703E-3</v>
      </c>
      <c r="AN179" s="1">
        <v>1.06001258820691E-2</v>
      </c>
      <c r="AO179" s="1">
        <v>4.0400022046782596E-3</v>
      </c>
      <c r="AP179" s="1">
        <v>2.9358652314981199E-3</v>
      </c>
      <c r="AQ179" s="1">
        <v>6.2379170242018696E-3</v>
      </c>
      <c r="AR179" s="1">
        <v>6.7028145420228802E-3</v>
      </c>
      <c r="AS179" s="1">
        <v>7.6175720914741802E-3</v>
      </c>
      <c r="AT179" s="1">
        <v>0</v>
      </c>
    </row>
    <row r="180" spans="1:46" x14ac:dyDescent="0.3">
      <c r="A180" s="14" t="s">
        <v>74</v>
      </c>
      <c r="B180" s="1">
        <v>1.6658745249262101E-3</v>
      </c>
      <c r="C180" s="1">
        <v>1.5799555922819E-3</v>
      </c>
      <c r="D180" s="1">
        <v>3.0175547246875101E-3</v>
      </c>
      <c r="E180" s="1">
        <v>2.7141498557446899E-3</v>
      </c>
      <c r="F180" s="1">
        <v>3.9761805796537202E-3</v>
      </c>
      <c r="G180" s="1">
        <v>2.3727084295807701E-3</v>
      </c>
      <c r="H180" s="1">
        <v>2.5309074567336099E-3</v>
      </c>
      <c r="I180" s="1">
        <v>3.6453597289333398E-3</v>
      </c>
      <c r="J180" s="1">
        <v>2.1212408718268099E-3</v>
      </c>
      <c r="K180" s="1">
        <v>2.0340200158381798E-3</v>
      </c>
      <c r="L180" s="1">
        <v>2.3768154615053001E-3</v>
      </c>
      <c r="M180" s="1">
        <v>1.5810265905539199E-3</v>
      </c>
      <c r="N180" s="1">
        <v>4.4219500240541302E-3</v>
      </c>
      <c r="O180" s="1">
        <v>2.9575233323623101E-3</v>
      </c>
      <c r="P180" s="1">
        <v>3.36536233666202E-2</v>
      </c>
      <c r="Q180" s="1">
        <v>1.0249981379606501E-2</v>
      </c>
      <c r="R180" s="1">
        <v>4.9133592879678899E-3</v>
      </c>
      <c r="S180" s="1">
        <v>1.1083712189113901E-2</v>
      </c>
      <c r="T180" s="1">
        <v>7.8245814429359593E-3</v>
      </c>
      <c r="U180" s="1">
        <v>5.9714410611370304E-3</v>
      </c>
      <c r="V180" s="1">
        <v>1.30000209408786</v>
      </c>
      <c r="W180" s="1">
        <v>1.54471360543932E-2</v>
      </c>
      <c r="X180" s="1">
        <v>2.25278448276558E-3</v>
      </c>
      <c r="Y180" s="1">
        <v>1.88985152091758E-3</v>
      </c>
      <c r="Z180" s="1">
        <v>4.5637648552157E-3</v>
      </c>
      <c r="AA180" s="1">
        <v>3.06291419819561E-3</v>
      </c>
      <c r="AB180" s="1">
        <v>4.7188648433829396E-3</v>
      </c>
      <c r="AC180" s="1">
        <v>3.7201027833226202E-3</v>
      </c>
      <c r="AD180" s="1">
        <v>5.4671958181420196E-3</v>
      </c>
      <c r="AE180" s="1">
        <v>7.8547034548339303E-3</v>
      </c>
      <c r="AF180" s="1">
        <v>9.09685143107323E-4</v>
      </c>
      <c r="AG180" s="1">
        <v>1.48291636081645E-3</v>
      </c>
      <c r="AH180" s="1">
        <v>9.81161312383561E-4</v>
      </c>
      <c r="AI180" s="1">
        <v>9.9428311820203897E-4</v>
      </c>
      <c r="AJ180" s="1">
        <v>1.1575522928106E-3</v>
      </c>
      <c r="AK180" s="1">
        <v>8.7433084691433802E-4</v>
      </c>
      <c r="AL180" s="1">
        <v>1.10652208940683E-3</v>
      </c>
      <c r="AM180" s="1">
        <v>1.3659815086125E-3</v>
      </c>
      <c r="AN180" s="1">
        <v>5.8190571478628503E-3</v>
      </c>
      <c r="AO180" s="1">
        <v>1.51584867026E-3</v>
      </c>
      <c r="AP180" s="1">
        <v>6.0801722262464005E-4</v>
      </c>
      <c r="AQ180" s="1">
        <v>1.3908655275739401E-3</v>
      </c>
      <c r="AR180" s="1">
        <v>1.4539501784393901E-3</v>
      </c>
      <c r="AS180" s="1">
        <v>1.2244437346130501E-3</v>
      </c>
      <c r="AT180" s="1">
        <v>0</v>
      </c>
    </row>
    <row r="181" spans="1:46" x14ac:dyDescent="0.3">
      <c r="A181" s="14" t="s">
        <v>75</v>
      </c>
      <c r="B181" s="1">
        <v>6.31426410965138E-3</v>
      </c>
      <c r="C181" s="1">
        <v>7.2722296186131302E-3</v>
      </c>
      <c r="D181" s="1">
        <v>8.3377940503014895E-3</v>
      </c>
      <c r="E181" s="1">
        <v>1.0957501384121699E-2</v>
      </c>
      <c r="F181" s="1">
        <v>9.6660555300071595E-3</v>
      </c>
      <c r="G181" s="1">
        <v>9.1857588673609995E-3</v>
      </c>
      <c r="H181" s="1">
        <v>4.3756755153999502E-2</v>
      </c>
      <c r="I181" s="1">
        <v>1.7043881782018402E-2</v>
      </c>
      <c r="J181" s="1">
        <v>1.2583528335520899E-2</v>
      </c>
      <c r="K181" s="1">
        <v>1.26058016818133E-2</v>
      </c>
      <c r="L181" s="1">
        <v>1.4799936799631401E-2</v>
      </c>
      <c r="M181" s="1">
        <v>9.6133234688367906E-3</v>
      </c>
      <c r="N181" s="1">
        <v>1.63868019927692E-2</v>
      </c>
      <c r="O181" s="1">
        <v>1.02115843592596E-2</v>
      </c>
      <c r="P181" s="1">
        <v>1.11147766828372E-2</v>
      </c>
      <c r="Q181" s="1">
        <v>1.1359749731286201E-2</v>
      </c>
      <c r="R181" s="1">
        <v>2.0372397243672201E-2</v>
      </c>
      <c r="S181" s="1">
        <v>1.24817704089101E-2</v>
      </c>
      <c r="T181" s="1">
        <v>2.0198442832561201E-2</v>
      </c>
      <c r="U181" s="1">
        <v>1.89282571899889E-2</v>
      </c>
      <c r="V181" s="1">
        <v>1.06394387550722E-2</v>
      </c>
      <c r="W181" s="1">
        <v>1.04915094998503</v>
      </c>
      <c r="X181" s="1">
        <v>1.88906624773089E-2</v>
      </c>
      <c r="Y181" s="1">
        <v>8.6049456173373506E-3</v>
      </c>
      <c r="Z181" s="1">
        <v>1.1865477676627101E-2</v>
      </c>
      <c r="AA181" s="1">
        <v>7.1104582562951102E-3</v>
      </c>
      <c r="AB181" s="1">
        <v>1.8131570371279201E-2</v>
      </c>
      <c r="AC181" s="1">
        <v>1.6719122131380298E-2</v>
      </c>
      <c r="AD181" s="1">
        <v>2.0778564340271099E-2</v>
      </c>
      <c r="AE181" s="1">
        <v>1.95055206690887E-2</v>
      </c>
      <c r="AF181" s="1">
        <v>3.6662902638260201E-3</v>
      </c>
      <c r="AG181" s="1">
        <v>6.0439482443241004E-3</v>
      </c>
      <c r="AH181" s="1">
        <v>5.2068467890668199E-3</v>
      </c>
      <c r="AI181" s="1">
        <v>6.7045043974720102E-3</v>
      </c>
      <c r="AJ181" s="1">
        <v>4.4418360996226203E-3</v>
      </c>
      <c r="AK181" s="1">
        <v>5.9067444652380801E-3</v>
      </c>
      <c r="AL181" s="1">
        <v>4.6630291803206299E-3</v>
      </c>
      <c r="AM181" s="1">
        <v>5.2917989255616398E-3</v>
      </c>
      <c r="AN181" s="1">
        <v>5.7047715743087403E-3</v>
      </c>
      <c r="AO181" s="1">
        <v>4.3213000732677297E-3</v>
      </c>
      <c r="AP181" s="1">
        <v>4.5527341610461097E-3</v>
      </c>
      <c r="AQ181" s="1">
        <v>2.7636979988132901E-2</v>
      </c>
      <c r="AR181" s="1">
        <v>6.7937509273269699E-3</v>
      </c>
      <c r="AS181" s="1">
        <v>5.5472563702439999E-3</v>
      </c>
      <c r="AT181" s="1">
        <v>0</v>
      </c>
    </row>
    <row r="182" spans="1:46" x14ac:dyDescent="0.3">
      <c r="A182" s="14" t="s">
        <v>76</v>
      </c>
      <c r="B182" s="1">
        <v>5.6201651352994202E-2</v>
      </c>
      <c r="C182" s="1">
        <v>6.2356604135564798E-2</v>
      </c>
      <c r="D182" s="1">
        <v>4.3254005141382397E-2</v>
      </c>
      <c r="E182" s="1">
        <v>6.1931136510821501E-2</v>
      </c>
      <c r="F182" s="1">
        <v>4.1029683948411999E-2</v>
      </c>
      <c r="G182" s="1">
        <v>6.7834223115264297E-2</v>
      </c>
      <c r="H182" s="1">
        <v>4.4562939159121101E-2</v>
      </c>
      <c r="I182" s="1">
        <v>7.3667199304999501E-2</v>
      </c>
      <c r="J182" s="1">
        <v>9.3827818404778301E-2</v>
      </c>
      <c r="K182" s="1">
        <v>6.1523964980969702E-2</v>
      </c>
      <c r="L182" s="1">
        <v>0.13008536316542399</v>
      </c>
      <c r="M182" s="1">
        <v>5.6798288262825097E-2</v>
      </c>
      <c r="N182" s="1">
        <v>8.2841373027491297E-2</v>
      </c>
      <c r="O182" s="1">
        <v>0.107511012783778</v>
      </c>
      <c r="P182" s="1">
        <v>0.12225193332270499</v>
      </c>
      <c r="Q182" s="1">
        <v>6.4061508846717505E-2</v>
      </c>
      <c r="R182" s="1">
        <v>5.45212230698775E-2</v>
      </c>
      <c r="S182" s="1">
        <v>5.8473065289682401E-2</v>
      </c>
      <c r="T182" s="1">
        <v>5.9683986309930798E-2</v>
      </c>
      <c r="U182" s="1">
        <v>5.7393598294280299E-2</v>
      </c>
      <c r="V182" s="1">
        <v>5.7088894869503901E-2</v>
      </c>
      <c r="W182" s="1">
        <v>5.0168224357319401E-2</v>
      </c>
      <c r="X182" s="1">
        <v>1.0859297040946401</v>
      </c>
      <c r="Y182" s="1">
        <v>8.9587921235247295E-2</v>
      </c>
      <c r="Z182" s="1">
        <v>4.5718863732037901E-2</v>
      </c>
      <c r="AA182" s="1">
        <v>4.7005051334381903E-2</v>
      </c>
      <c r="AB182" s="1">
        <v>4.3053008841463902E-2</v>
      </c>
      <c r="AC182" s="1">
        <v>4.9335432350144801E-2</v>
      </c>
      <c r="AD182" s="1">
        <v>4.79246811317878E-2</v>
      </c>
      <c r="AE182" s="1">
        <v>6.37645025851305E-2</v>
      </c>
      <c r="AF182" s="1">
        <v>2.0532383452859401E-2</v>
      </c>
      <c r="AG182" s="1">
        <v>6.5286790785252902E-2</v>
      </c>
      <c r="AH182" s="1">
        <v>3.1412551794601097E-2</v>
      </c>
      <c r="AI182" s="1">
        <v>2.9630529998829602E-2</v>
      </c>
      <c r="AJ182" s="1">
        <v>2.4168158806234099E-2</v>
      </c>
      <c r="AK182" s="1">
        <v>2.1886484353681901E-2</v>
      </c>
      <c r="AL182" s="1">
        <v>3.08404500169688E-2</v>
      </c>
      <c r="AM182" s="1">
        <v>3.18174901395952E-2</v>
      </c>
      <c r="AN182" s="1">
        <v>3.0092170971647299E-2</v>
      </c>
      <c r="AO182" s="1">
        <v>3.68247557515246E-2</v>
      </c>
      <c r="AP182" s="1">
        <v>3.841903615351E-2</v>
      </c>
      <c r="AQ182" s="1">
        <v>4.2076587406525999E-2</v>
      </c>
      <c r="AR182" s="1">
        <v>6.9105425729736394E-2</v>
      </c>
      <c r="AS182" s="1">
        <v>3.7836624685481601E-2</v>
      </c>
      <c r="AT182" s="1">
        <v>0</v>
      </c>
    </row>
    <row r="183" spans="1:46" x14ac:dyDescent="0.3">
      <c r="A183" s="14" t="s">
        <v>77</v>
      </c>
      <c r="B183" s="1">
        <v>1.08985039429014E-2</v>
      </c>
      <c r="C183" s="1">
        <v>1.0156314318737701E-2</v>
      </c>
      <c r="D183" s="1">
        <v>1.2240172590002599E-2</v>
      </c>
      <c r="E183" s="1">
        <v>1.19540694320094E-2</v>
      </c>
      <c r="F183" s="1">
        <v>1.6203687877429498E-2</v>
      </c>
      <c r="G183" s="1">
        <v>1.50307954155288E-2</v>
      </c>
      <c r="H183" s="1">
        <v>1.0198482990519399E-2</v>
      </c>
      <c r="I183" s="1">
        <v>2.5718386108981299E-2</v>
      </c>
      <c r="J183" s="1">
        <v>1.64616218642211E-2</v>
      </c>
      <c r="K183" s="1">
        <v>1.19010181875731E-2</v>
      </c>
      <c r="L183" s="1">
        <v>2.6848698115228602E-2</v>
      </c>
      <c r="M183" s="1">
        <v>1.6921361939842599E-2</v>
      </c>
      <c r="N183" s="1">
        <v>1.7809915126601201E-2</v>
      </c>
      <c r="O183" s="1">
        <v>1.5246313526153301E-2</v>
      </c>
      <c r="P183" s="1">
        <v>6.3281226645039296E-2</v>
      </c>
      <c r="Q183" s="1">
        <v>2.2809371795063298E-2</v>
      </c>
      <c r="R183" s="1">
        <v>1.2384745770895799E-2</v>
      </c>
      <c r="S183" s="1">
        <v>1.7262078531664699E-2</v>
      </c>
      <c r="T183" s="1">
        <v>1.6751624532945798E-2</v>
      </c>
      <c r="U183" s="1">
        <v>1.4159370506282401E-2</v>
      </c>
      <c r="V183" s="1">
        <v>1.47868910949236E-2</v>
      </c>
      <c r="W183" s="1">
        <v>1.28626885082118E-2</v>
      </c>
      <c r="X183" s="1">
        <v>1.0561031926023401E-2</v>
      </c>
      <c r="Y183" s="1">
        <v>1.10070542776245</v>
      </c>
      <c r="Z183" s="1">
        <v>1.3721948060512501E-2</v>
      </c>
      <c r="AA183" s="1">
        <v>1.1684250447386999E-2</v>
      </c>
      <c r="AB183" s="1">
        <v>8.0985792938494897E-3</v>
      </c>
      <c r="AC183" s="1">
        <v>1.36037954276315E-2</v>
      </c>
      <c r="AD183" s="1">
        <v>8.7767201190091307E-3</v>
      </c>
      <c r="AE183" s="1">
        <v>6.9315343863085403E-3</v>
      </c>
      <c r="AF183" s="1">
        <v>3.6356624646074098E-3</v>
      </c>
      <c r="AG183" s="1">
        <v>1.4809078840996E-2</v>
      </c>
      <c r="AH183" s="1">
        <v>6.13524292655678E-3</v>
      </c>
      <c r="AI183" s="1">
        <v>4.3469770309306202E-3</v>
      </c>
      <c r="AJ183" s="1">
        <v>4.12681487555051E-3</v>
      </c>
      <c r="AK183" s="1">
        <v>5.5576387663500097E-3</v>
      </c>
      <c r="AL183" s="1">
        <v>8.4460046584472395E-3</v>
      </c>
      <c r="AM183" s="1">
        <v>6.1979402996760503E-3</v>
      </c>
      <c r="AN183" s="1">
        <v>9.6498934627428194E-3</v>
      </c>
      <c r="AO183" s="1">
        <v>9.5359360068448199E-3</v>
      </c>
      <c r="AP183" s="1">
        <v>7.9957987830273393E-3</v>
      </c>
      <c r="AQ183" s="1">
        <v>1.4029703791651599E-2</v>
      </c>
      <c r="AR183" s="1">
        <v>1.91251316013651E-2</v>
      </c>
      <c r="AS183" s="1">
        <v>1.1376377758073901E-2</v>
      </c>
      <c r="AT183" s="1">
        <v>0</v>
      </c>
    </row>
    <row r="184" spans="1:46" x14ac:dyDescent="0.3">
      <c r="A184" s="14" t="s">
        <v>78</v>
      </c>
      <c r="B184" s="1">
        <v>8.7059067864311904E-3</v>
      </c>
      <c r="C184" s="1">
        <v>1.48573394494251E-2</v>
      </c>
      <c r="D184" s="1">
        <v>1.25270900437209E-2</v>
      </c>
      <c r="E184" s="1">
        <v>1.7507111385941E-2</v>
      </c>
      <c r="F184" s="1">
        <v>1.3526988371969599E-2</v>
      </c>
      <c r="G184" s="1">
        <v>1.2413916597146701E-2</v>
      </c>
      <c r="H184" s="1">
        <v>9.4709698255742002E-3</v>
      </c>
      <c r="I184" s="1">
        <v>1.28581379786447E-2</v>
      </c>
      <c r="J184" s="1">
        <v>1.2154928547138901E-2</v>
      </c>
      <c r="K184" s="1">
        <v>1.21372675721944E-2</v>
      </c>
      <c r="L184" s="1">
        <v>1.35536729849194E-2</v>
      </c>
      <c r="M184" s="1">
        <v>8.5635669014227003E-3</v>
      </c>
      <c r="N184" s="1">
        <v>1.35083979738816E-2</v>
      </c>
      <c r="O184" s="1">
        <v>1.9882423835966501E-2</v>
      </c>
      <c r="P184" s="1">
        <v>1.36529428618963E-2</v>
      </c>
      <c r="Q184" s="1">
        <v>1.4095441735379801E-2</v>
      </c>
      <c r="R184" s="1">
        <v>1.5384707400563901E-2</v>
      </c>
      <c r="S184" s="1">
        <v>1.1816516843765701E-2</v>
      </c>
      <c r="T184" s="1">
        <v>1.5384785696869E-2</v>
      </c>
      <c r="U184" s="1">
        <v>1.5684728809357701E-2</v>
      </c>
      <c r="V184" s="1">
        <v>1.2252291429554E-2</v>
      </c>
      <c r="W184" s="1">
        <v>1.22930671435656E-2</v>
      </c>
      <c r="X184" s="1">
        <v>2.2254639323389398E-2</v>
      </c>
      <c r="Y184" s="1">
        <v>2.5721818321683999E-2</v>
      </c>
      <c r="Z184" s="1">
        <v>1.0450914734157699</v>
      </c>
      <c r="AA184" s="1">
        <v>1.1522352875079E-2</v>
      </c>
      <c r="AB184" s="1">
        <v>1.4798407626726399E-2</v>
      </c>
      <c r="AC184" s="1">
        <v>1.9590003527577199E-2</v>
      </c>
      <c r="AD184" s="1">
        <v>2.43174514679253E-2</v>
      </c>
      <c r="AE184" s="1">
        <v>4.9262733078486297E-2</v>
      </c>
      <c r="AF184" s="1">
        <v>5.8294088202146101E-3</v>
      </c>
      <c r="AG184" s="1">
        <v>1.34401068788751E-2</v>
      </c>
      <c r="AH184" s="1">
        <v>8.8566602295933102E-3</v>
      </c>
      <c r="AI184" s="1">
        <v>1.1031556448303E-2</v>
      </c>
      <c r="AJ184" s="1">
        <v>7.6742924854786001E-3</v>
      </c>
      <c r="AK184" s="1">
        <v>8.0005291603659906E-3</v>
      </c>
      <c r="AL184" s="1">
        <v>2.0433416671168301E-2</v>
      </c>
      <c r="AM184" s="1">
        <v>1.15010152179384E-2</v>
      </c>
      <c r="AN184" s="1">
        <v>8.9849643216967801E-3</v>
      </c>
      <c r="AO184" s="1">
        <v>2.2441475648447499E-2</v>
      </c>
      <c r="AP184" s="1">
        <v>1.18893477041793E-2</v>
      </c>
      <c r="AQ184" s="1">
        <v>9.7462444705198794E-3</v>
      </c>
      <c r="AR184" s="1">
        <v>1.8611869988325199E-2</v>
      </c>
      <c r="AS184" s="1">
        <v>1.2965471152327801E-2</v>
      </c>
      <c r="AT184" s="1">
        <v>0</v>
      </c>
    </row>
    <row r="185" spans="1:46" x14ac:dyDescent="0.3">
      <c r="A185" s="14" t="s">
        <v>79</v>
      </c>
      <c r="B185" s="1">
        <v>0.19073198712414699</v>
      </c>
      <c r="C185" s="1">
        <v>0.17001697731837001</v>
      </c>
      <c r="D185" s="1">
        <v>0.153217894114373</v>
      </c>
      <c r="E185" s="1">
        <v>0.12640114178063999</v>
      </c>
      <c r="F185" s="1">
        <v>0.120369302753997</v>
      </c>
      <c r="G185" s="1">
        <v>0.24453312871507199</v>
      </c>
      <c r="H185" s="1">
        <v>0.27778513934914001</v>
      </c>
      <c r="I185" s="1">
        <v>0.21314182639095999</v>
      </c>
      <c r="J185" s="1">
        <v>0.21402434059228601</v>
      </c>
      <c r="K185" s="1">
        <v>0.197208049724486</v>
      </c>
      <c r="L185" s="1">
        <v>0.242743472812222</v>
      </c>
      <c r="M185" s="1">
        <v>0.15470986792955199</v>
      </c>
      <c r="N185" s="1">
        <v>0.247959796897012</v>
      </c>
      <c r="O185" s="1">
        <v>0.17474121235316301</v>
      </c>
      <c r="P185" s="1">
        <v>0.20099863869693299</v>
      </c>
      <c r="Q185" s="1">
        <v>0.17325222930409301</v>
      </c>
      <c r="R185" s="1">
        <v>0.32541931713969702</v>
      </c>
      <c r="S185" s="1">
        <v>0.22342073909690599</v>
      </c>
      <c r="T185" s="1">
        <v>0.19348776023317499</v>
      </c>
      <c r="U185" s="1">
        <v>0.24774955457238901</v>
      </c>
      <c r="V185" s="1">
        <v>0.16415589923979701</v>
      </c>
      <c r="W185" s="1">
        <v>0.20456924867689899</v>
      </c>
      <c r="X185" s="1">
        <v>0.14003553978091701</v>
      </c>
      <c r="Y185" s="1">
        <v>9.3513919463343906E-2</v>
      </c>
      <c r="Z185" s="1">
        <v>0.15465949703854601</v>
      </c>
      <c r="AA185" s="1">
        <v>1.12886445257246</v>
      </c>
      <c r="AB185" s="1">
        <v>0.14235540387323301</v>
      </c>
      <c r="AC185" s="1">
        <v>0.19538534665377899</v>
      </c>
      <c r="AD185" s="1">
        <v>0.170756385830658</v>
      </c>
      <c r="AE185" s="1">
        <v>8.9616242002712301E-2</v>
      </c>
      <c r="AF185" s="1">
        <v>6.5298730686409096E-2</v>
      </c>
      <c r="AG185" s="1">
        <v>0.182939072721157</v>
      </c>
      <c r="AH185" s="1">
        <v>0.10161488149341</v>
      </c>
      <c r="AI185" s="1">
        <v>6.0615549493055199E-2</v>
      </c>
      <c r="AJ185" s="1">
        <v>5.9746434733341798E-2</v>
      </c>
      <c r="AK185" s="1">
        <v>5.5540102873311702E-2</v>
      </c>
      <c r="AL185" s="1">
        <v>5.7478200691617999E-2</v>
      </c>
      <c r="AM185" s="1">
        <v>6.9669220835124904E-2</v>
      </c>
      <c r="AN185" s="1">
        <v>9.2752517285596803E-2</v>
      </c>
      <c r="AO185" s="1">
        <v>3.8600756431063199E-2</v>
      </c>
      <c r="AP185" s="1">
        <v>3.6781536449379301E-2</v>
      </c>
      <c r="AQ185" s="1">
        <v>0.103056592448417</v>
      </c>
      <c r="AR185" s="1">
        <v>8.2408533405115503E-2</v>
      </c>
      <c r="AS185" s="1">
        <v>7.6009724263865597E-2</v>
      </c>
      <c r="AT185" s="1">
        <v>0</v>
      </c>
    </row>
    <row r="186" spans="1:46" x14ac:dyDescent="0.3">
      <c r="A186" s="14" t="s">
        <v>80</v>
      </c>
      <c r="B186" s="1">
        <v>4.3834200433460702E-2</v>
      </c>
      <c r="C186" s="1">
        <v>5.0863703091498097E-2</v>
      </c>
      <c r="D186" s="1">
        <v>0.116572626663456</v>
      </c>
      <c r="E186" s="1">
        <v>0.115804830298028</v>
      </c>
      <c r="F186" s="1">
        <v>7.8455294405313694E-2</v>
      </c>
      <c r="G186" s="1">
        <v>6.3281373709836206E-2</v>
      </c>
      <c r="H186" s="1">
        <v>4.76005577876581E-2</v>
      </c>
      <c r="I186" s="1">
        <v>5.3666362759356198E-2</v>
      </c>
      <c r="J186" s="1">
        <v>5.69555073332609E-2</v>
      </c>
      <c r="K186" s="1">
        <v>7.1347320208041201E-2</v>
      </c>
      <c r="L186" s="1">
        <v>6.4365447558417596E-2</v>
      </c>
      <c r="M186" s="1">
        <v>3.10665790138944E-2</v>
      </c>
      <c r="N186" s="1">
        <v>5.7842108913257001E-2</v>
      </c>
      <c r="O186" s="1">
        <v>8.24721263174093E-2</v>
      </c>
      <c r="P186" s="1">
        <v>6.7122858174256797E-2</v>
      </c>
      <c r="Q186" s="1">
        <v>5.3050597617788998E-2</v>
      </c>
      <c r="R186" s="1">
        <v>6.9456510257382101E-2</v>
      </c>
      <c r="S186" s="1">
        <v>5.3565155978494997E-2</v>
      </c>
      <c r="T186" s="1">
        <v>5.6716576952738303E-2</v>
      </c>
      <c r="U186" s="1">
        <v>5.7491386341859803E-2</v>
      </c>
      <c r="V186" s="1">
        <v>4.4016418212290298E-2</v>
      </c>
      <c r="W186" s="1">
        <v>4.8106273774205302E-2</v>
      </c>
      <c r="X186" s="1">
        <v>7.7342210924764093E-2</v>
      </c>
      <c r="Y186" s="1">
        <v>3.8605904402947103E-2</v>
      </c>
      <c r="Z186" s="1">
        <v>5.6929651088911598E-2</v>
      </c>
      <c r="AA186" s="1">
        <v>6.1053738073351897E-2</v>
      </c>
      <c r="AB186" s="1">
        <v>1.0435525235530401</v>
      </c>
      <c r="AC186" s="1">
        <v>6.4086193258246896E-2</v>
      </c>
      <c r="AD186" s="1">
        <v>5.2617617351615402E-2</v>
      </c>
      <c r="AE186" s="1">
        <v>2.82577895030304E-2</v>
      </c>
      <c r="AF186" s="1">
        <v>2.78052650986658E-2</v>
      </c>
      <c r="AG186" s="1">
        <v>3.9009181090583898E-2</v>
      </c>
      <c r="AH186" s="1">
        <v>2.48356193314767E-2</v>
      </c>
      <c r="AI186" s="1">
        <v>1.9062741514829801E-2</v>
      </c>
      <c r="AJ186" s="1">
        <v>1.6415953485796001E-2</v>
      </c>
      <c r="AK186" s="1">
        <v>1.5299728061098E-2</v>
      </c>
      <c r="AL186" s="1">
        <v>1.7862712213294499E-2</v>
      </c>
      <c r="AM186" s="1">
        <v>2.0933688781899201E-2</v>
      </c>
      <c r="AN186" s="1">
        <v>3.37166365839816E-2</v>
      </c>
      <c r="AO186" s="1">
        <v>1.45726772459078E-2</v>
      </c>
      <c r="AP186" s="1">
        <v>1.30961524669837E-2</v>
      </c>
      <c r="AQ186" s="1">
        <v>2.1732102232270602E-2</v>
      </c>
      <c r="AR186" s="1">
        <v>2.7196488371862299E-2</v>
      </c>
      <c r="AS186" s="1">
        <v>2.5287704514201498E-2</v>
      </c>
      <c r="AT186" s="1">
        <v>0</v>
      </c>
    </row>
    <row r="187" spans="1:46" x14ac:dyDescent="0.3">
      <c r="A187" s="14" t="s">
        <v>81</v>
      </c>
      <c r="B187" s="1">
        <v>9.8586028063486894E-4</v>
      </c>
      <c r="C187" s="1">
        <v>6.0173366380046102E-4</v>
      </c>
      <c r="D187" s="1">
        <v>1.63833625318359E-3</v>
      </c>
      <c r="E187" s="1">
        <v>1.1684723783556099E-3</v>
      </c>
      <c r="F187" s="1">
        <v>1.2248077443267999E-3</v>
      </c>
      <c r="G187" s="1">
        <v>1.2271613677923799E-3</v>
      </c>
      <c r="H187" s="1">
        <v>1.3409318201762E-3</v>
      </c>
      <c r="I187" s="1">
        <v>1.4140040443445601E-3</v>
      </c>
      <c r="J187" s="1">
        <v>1.19661972962564E-3</v>
      </c>
      <c r="K187" s="1">
        <v>2.4522874322432699E-3</v>
      </c>
      <c r="L187" s="1">
        <v>1.84214339265389E-3</v>
      </c>
      <c r="M187" s="1">
        <v>7.9670544440707395E-4</v>
      </c>
      <c r="N187" s="1">
        <v>1.5391708279124099E-3</v>
      </c>
      <c r="O187" s="1">
        <v>1.50015437463951E-3</v>
      </c>
      <c r="P187" s="1">
        <v>2.06996197844495E-3</v>
      </c>
      <c r="Q187" s="1">
        <v>1.42382088725264E-3</v>
      </c>
      <c r="R187" s="1">
        <v>2.2437141253667E-3</v>
      </c>
      <c r="S187" s="1">
        <v>1.7661698378472199E-3</v>
      </c>
      <c r="T187" s="1">
        <v>1.4416990887271099E-3</v>
      </c>
      <c r="U187" s="1">
        <v>1.89330558166307E-3</v>
      </c>
      <c r="V187" s="1">
        <v>2.2758378672406098E-3</v>
      </c>
      <c r="W187" s="1">
        <v>1.2806088349849401E-3</v>
      </c>
      <c r="X187" s="1">
        <v>1.19942307976805E-3</v>
      </c>
      <c r="Y187" s="1">
        <v>6.5017616031017901E-4</v>
      </c>
      <c r="Z187" s="1">
        <v>1.1647795809832399E-3</v>
      </c>
      <c r="AA187" s="1">
        <v>1.0361259047945901E-3</v>
      </c>
      <c r="AB187" s="1">
        <v>1.37775293724825E-3</v>
      </c>
      <c r="AC187" s="1">
        <v>1.00372200717209</v>
      </c>
      <c r="AD187" s="1">
        <v>2.3799152965835002E-3</v>
      </c>
      <c r="AE187" s="1">
        <v>1.4399167143106799E-3</v>
      </c>
      <c r="AF187" s="1">
        <v>3.11561785156312E-4</v>
      </c>
      <c r="AG187" s="1">
        <v>8.1201495242429601E-4</v>
      </c>
      <c r="AH187" s="1">
        <v>4.4507703627881702E-4</v>
      </c>
      <c r="AI187" s="1">
        <v>3.35003636407621E-4</v>
      </c>
      <c r="AJ187" s="1">
        <v>3.53782514742865E-4</v>
      </c>
      <c r="AK187" s="1">
        <v>2.8821636424421898E-4</v>
      </c>
      <c r="AL187" s="1">
        <v>3.7466579176389001E-4</v>
      </c>
      <c r="AM187" s="1">
        <v>4.1404106114467101E-4</v>
      </c>
      <c r="AN187" s="1">
        <v>8.9117821632656903E-4</v>
      </c>
      <c r="AO187" s="1">
        <v>2.8595192591476299E-4</v>
      </c>
      <c r="AP187" s="1">
        <v>2.30809697310385E-4</v>
      </c>
      <c r="AQ187" s="1">
        <v>5.2593490684858595E-4</v>
      </c>
      <c r="AR187" s="1">
        <v>6.2494177271576795E-4</v>
      </c>
      <c r="AS187" s="1">
        <v>4.3277231317023399E-4</v>
      </c>
      <c r="AT187" s="1">
        <v>0</v>
      </c>
    </row>
    <row r="188" spans="1:46" x14ac:dyDescent="0.3">
      <c r="A188" s="14" t="s">
        <v>82</v>
      </c>
      <c r="B188" s="1">
        <v>2.2648394524689098E-3</v>
      </c>
      <c r="C188" s="1">
        <v>3.56303312574744E-3</v>
      </c>
      <c r="D188" s="1">
        <v>4.5803706608829198E-3</v>
      </c>
      <c r="E188" s="1">
        <v>2.5387705646010899E-3</v>
      </c>
      <c r="F188" s="1">
        <v>3.60086284010027E-3</v>
      </c>
      <c r="G188" s="1">
        <v>3.31418677805826E-3</v>
      </c>
      <c r="H188" s="1">
        <v>3.3462427726821298E-3</v>
      </c>
      <c r="I188" s="1">
        <v>3.23160568693006E-3</v>
      </c>
      <c r="J188" s="1">
        <v>3.28484603372702E-3</v>
      </c>
      <c r="K188" s="1">
        <v>3.6046115295312099E-3</v>
      </c>
      <c r="L188" s="1">
        <v>3.5684507636626899E-3</v>
      </c>
      <c r="M188" s="1">
        <v>3.16537842008778E-3</v>
      </c>
      <c r="N188" s="1">
        <v>3.9922312937324001E-3</v>
      </c>
      <c r="O188" s="1">
        <v>3.24169614666384E-3</v>
      </c>
      <c r="P188" s="1">
        <v>3.7728982604782499E-3</v>
      </c>
      <c r="Q188" s="1">
        <v>3.5745687283180502E-3</v>
      </c>
      <c r="R188" s="1">
        <v>6.8212077156367002E-3</v>
      </c>
      <c r="S188" s="1">
        <v>4.5757185875381599E-3</v>
      </c>
      <c r="T188" s="1">
        <v>3.7994511003047E-3</v>
      </c>
      <c r="U188" s="1">
        <v>4.1068242802568596E-3</v>
      </c>
      <c r="V188" s="1">
        <v>3.9749196819674803E-3</v>
      </c>
      <c r="W188" s="1">
        <v>3.5927091973390599E-3</v>
      </c>
      <c r="X188" s="1">
        <v>3.1288528010058598E-3</v>
      </c>
      <c r="Y188" s="1">
        <v>2.10619151272805E-3</v>
      </c>
      <c r="Z188" s="1">
        <v>3.11574338067841E-3</v>
      </c>
      <c r="AA188" s="1">
        <v>2.9496372407577E-3</v>
      </c>
      <c r="AB188" s="1">
        <v>3.3863010478799101E-3</v>
      </c>
      <c r="AC188" s="1">
        <v>3.5507019010402002E-3</v>
      </c>
      <c r="AD188" s="1">
        <v>1.0193280105771401</v>
      </c>
      <c r="AE188" s="1">
        <v>2.6428982188830201E-3</v>
      </c>
      <c r="AF188" s="1">
        <v>3.2504493162742901E-3</v>
      </c>
      <c r="AG188" s="1">
        <v>2.7656961924994901E-3</v>
      </c>
      <c r="AH188" s="1">
        <v>2.12606977692398E-3</v>
      </c>
      <c r="AI188" s="1">
        <v>1.5752386187492899E-3</v>
      </c>
      <c r="AJ188" s="1">
        <v>2.6430298584696902E-3</v>
      </c>
      <c r="AK188" s="1">
        <v>1.68343627730634E-3</v>
      </c>
      <c r="AL188" s="1">
        <v>1.7114478221526199E-3</v>
      </c>
      <c r="AM188" s="1">
        <v>3.1563047931793902E-3</v>
      </c>
      <c r="AN188" s="1">
        <v>9.3854798084825001E-3</v>
      </c>
      <c r="AO188" s="1">
        <v>1.4966549297427E-3</v>
      </c>
      <c r="AP188" s="1">
        <v>1.36333345059352E-3</v>
      </c>
      <c r="AQ188" s="1">
        <v>1.6494040083865299E-3</v>
      </c>
      <c r="AR188" s="1">
        <v>2.54807609877935E-3</v>
      </c>
      <c r="AS188" s="1">
        <v>1.89148798204083E-3</v>
      </c>
      <c r="AT188" s="1">
        <v>0</v>
      </c>
    </row>
    <row r="189" spans="1:46" x14ac:dyDescent="0.3">
      <c r="A189" s="14" t="s">
        <v>83</v>
      </c>
      <c r="B189" s="1">
        <v>2.4068476902612702E-2</v>
      </c>
      <c r="C189" s="1">
        <v>2.7282340601324399E-2</v>
      </c>
      <c r="D189" s="1">
        <v>3.3123562522703598E-2</v>
      </c>
      <c r="E189" s="1">
        <v>3.5297099077976499E-2</v>
      </c>
      <c r="F189" s="1">
        <v>2.4049055211897801E-2</v>
      </c>
      <c r="G189" s="1">
        <v>3.6667141246309799E-2</v>
      </c>
      <c r="H189" s="1">
        <v>2.35805995020472E-2</v>
      </c>
      <c r="I189" s="1">
        <v>2.7398271352118499E-2</v>
      </c>
      <c r="J189" s="1">
        <v>2.7377381086971499E-2</v>
      </c>
      <c r="K189" s="1">
        <v>3.2837331758609298E-2</v>
      </c>
      <c r="L189" s="1">
        <v>2.8472461192111199E-2</v>
      </c>
      <c r="M189" s="1">
        <v>1.5640874334126399E-2</v>
      </c>
      <c r="N189" s="1">
        <v>2.94455339488757E-2</v>
      </c>
      <c r="O189" s="1">
        <v>3.9220720684404499E-2</v>
      </c>
      <c r="P189" s="1">
        <v>2.7279203601324398E-2</v>
      </c>
      <c r="Q189" s="1">
        <v>2.4694347370660698E-2</v>
      </c>
      <c r="R189" s="1">
        <v>3.8681768524050003E-2</v>
      </c>
      <c r="S189" s="1">
        <v>2.7671632895600099E-2</v>
      </c>
      <c r="T189" s="1">
        <v>2.5021089769055298E-2</v>
      </c>
      <c r="U189" s="1">
        <v>2.6508545846862699E-2</v>
      </c>
      <c r="V189" s="1">
        <v>2.1899742975814901E-2</v>
      </c>
      <c r="W189" s="1">
        <v>2.50290640521665E-2</v>
      </c>
      <c r="X189" s="1">
        <v>3.4047397406980498E-2</v>
      </c>
      <c r="Y189" s="1">
        <v>2.1133913469066401E-2</v>
      </c>
      <c r="Z189" s="1">
        <v>2.97786721957158E-2</v>
      </c>
      <c r="AA189" s="1">
        <v>3.6495175626778897E-2</v>
      </c>
      <c r="AB189" s="1">
        <v>0.14042882463749801</v>
      </c>
      <c r="AC189" s="1">
        <v>0.11051981682621501</v>
      </c>
      <c r="AD189" s="1">
        <v>0.32603914170949</v>
      </c>
      <c r="AE189" s="1">
        <v>1.04865891670716</v>
      </c>
      <c r="AF189" s="1">
        <v>2.0348069693705902E-2</v>
      </c>
      <c r="AG189" s="1">
        <v>2.13134993968415E-2</v>
      </c>
      <c r="AH189" s="1">
        <v>1.48766093624574E-2</v>
      </c>
      <c r="AI189" s="1">
        <v>1.14870275838299E-2</v>
      </c>
      <c r="AJ189" s="1">
        <v>9.9755208689087608E-3</v>
      </c>
      <c r="AK189" s="1">
        <v>7.9435618320130297E-3</v>
      </c>
      <c r="AL189" s="1">
        <v>9.9467837795228203E-3</v>
      </c>
      <c r="AM189" s="1">
        <v>1.20876202682771E-2</v>
      </c>
      <c r="AN189" s="1">
        <v>1.8152432582569902E-2</v>
      </c>
      <c r="AO189" s="1">
        <v>1.8883851962719099E-2</v>
      </c>
      <c r="AP189" s="1">
        <v>6.1744163916644399E-3</v>
      </c>
      <c r="AQ189" s="1">
        <v>1.0691566377262301E-2</v>
      </c>
      <c r="AR189" s="1">
        <v>1.49199975784361E-2</v>
      </c>
      <c r="AS189" s="1">
        <v>1.6150612635120399E-2</v>
      </c>
      <c r="AT189" s="1">
        <v>0</v>
      </c>
    </row>
    <row r="190" spans="1:46" x14ac:dyDescent="0.3">
      <c r="A190" s="14" t="s">
        <v>84</v>
      </c>
      <c r="B190" s="1">
        <v>5.8874501382854003E-3</v>
      </c>
      <c r="C190" s="1">
        <v>6.7527531886019997E-3</v>
      </c>
      <c r="D190" s="1">
        <v>5.8696511073399E-3</v>
      </c>
      <c r="E190" s="1">
        <v>5.7246206138338099E-3</v>
      </c>
      <c r="F190" s="1">
        <v>4.5510837233608097E-3</v>
      </c>
      <c r="G190" s="1">
        <v>7.3049568767477096E-3</v>
      </c>
      <c r="H190" s="1">
        <v>6.0327318016435601E-3</v>
      </c>
      <c r="I190" s="1">
        <v>6.2780177258344701E-3</v>
      </c>
      <c r="J190" s="1">
        <v>6.7904393744094103E-3</v>
      </c>
      <c r="K190" s="1">
        <v>4.8786112962473198E-3</v>
      </c>
      <c r="L190" s="1">
        <v>6.7081558450762697E-3</v>
      </c>
      <c r="M190" s="1">
        <v>6.6796819615262699E-3</v>
      </c>
      <c r="N190" s="1">
        <v>6.7983424106138404E-3</v>
      </c>
      <c r="O190" s="1">
        <v>5.9494227308539201E-3</v>
      </c>
      <c r="P190" s="1">
        <v>5.3701437023383498E-3</v>
      </c>
      <c r="Q190" s="1">
        <v>5.4395933855149502E-3</v>
      </c>
      <c r="R190" s="1">
        <v>6.6192788118116198E-3</v>
      </c>
      <c r="S190" s="1">
        <v>5.4455830705667698E-3</v>
      </c>
      <c r="T190" s="1">
        <v>5.6750690694415901E-3</v>
      </c>
      <c r="U190" s="1">
        <v>5.6882152455192203E-3</v>
      </c>
      <c r="V190" s="1">
        <v>4.8532598069237704E-3</v>
      </c>
      <c r="W190" s="1">
        <v>5.9892004779504102E-3</v>
      </c>
      <c r="X190" s="1">
        <v>7.7609408792401902E-3</v>
      </c>
      <c r="Y190" s="1">
        <v>8.6194780409614893E-3</v>
      </c>
      <c r="Z190" s="1">
        <v>6.4137335601399696E-3</v>
      </c>
      <c r="AA190" s="1">
        <v>9.04985474953722E-3</v>
      </c>
      <c r="AB190" s="1">
        <v>6.9715120548819601E-3</v>
      </c>
      <c r="AC190" s="1">
        <v>9.2975454017901592E-3</v>
      </c>
      <c r="AD190" s="1">
        <v>1.09563392642961E-2</v>
      </c>
      <c r="AE190" s="1">
        <v>9.0460482779313803E-3</v>
      </c>
      <c r="AF190" s="1">
        <v>1.07901489091962</v>
      </c>
      <c r="AG190" s="1">
        <v>7.7596985646518502E-3</v>
      </c>
      <c r="AH190" s="1">
        <v>2.2528238520305499E-2</v>
      </c>
      <c r="AI190" s="1">
        <v>1.6290145291967401E-2</v>
      </c>
      <c r="AJ190" s="1">
        <v>5.6011907722468999E-3</v>
      </c>
      <c r="AK190" s="1">
        <v>2.8695024425402001E-2</v>
      </c>
      <c r="AL190" s="1">
        <v>8.2126664676453708E-3</v>
      </c>
      <c r="AM190" s="1">
        <v>8.1466257046802493E-3</v>
      </c>
      <c r="AN190" s="1">
        <v>7.9918345827907598E-3</v>
      </c>
      <c r="AO190" s="1">
        <v>1.7758549586688498E-2</v>
      </c>
      <c r="AP190" s="1">
        <v>5.8639492548508898E-3</v>
      </c>
      <c r="AQ190" s="1">
        <v>7.7848616298949397E-3</v>
      </c>
      <c r="AR190" s="1">
        <v>1.51387698293765E-2</v>
      </c>
      <c r="AS190" s="1">
        <v>1.03304793662074E-2</v>
      </c>
      <c r="AT190" s="1">
        <v>0</v>
      </c>
    </row>
    <row r="191" spans="1:46" x14ac:dyDescent="0.3">
      <c r="A191" s="14" t="s">
        <v>85</v>
      </c>
      <c r="B191" s="1">
        <v>2.5432092711343401E-3</v>
      </c>
      <c r="C191" s="1">
        <v>2.88131562683135E-3</v>
      </c>
      <c r="D191" s="1">
        <v>8.7882006452126901E-3</v>
      </c>
      <c r="E191" s="1">
        <v>3.4635633847856502E-3</v>
      </c>
      <c r="F191" s="1">
        <v>4.5083857348952603E-3</v>
      </c>
      <c r="G191" s="1">
        <v>4.2036970750449201E-3</v>
      </c>
      <c r="H191" s="1">
        <v>3.6773776719422799E-3</v>
      </c>
      <c r="I191" s="1">
        <v>3.6860205994196202E-3</v>
      </c>
      <c r="J191" s="1">
        <v>4.1574543712343502E-3</v>
      </c>
      <c r="K191" s="1">
        <v>4.0358673663306701E-3</v>
      </c>
      <c r="L191" s="1">
        <v>3.9301569267870297E-3</v>
      </c>
      <c r="M191" s="1">
        <v>4.4986203589757997E-3</v>
      </c>
      <c r="N191" s="1">
        <v>4.3387688471078203E-3</v>
      </c>
      <c r="O191" s="1">
        <v>3.8911548435238302E-3</v>
      </c>
      <c r="P191" s="1">
        <v>4.0624098799237002E-3</v>
      </c>
      <c r="Q191" s="1">
        <v>3.9665680853693298E-3</v>
      </c>
      <c r="R191" s="1">
        <v>5.9577831390053501E-3</v>
      </c>
      <c r="S191" s="1">
        <v>4.3538743470588198E-3</v>
      </c>
      <c r="T191" s="1">
        <v>4.3300817067227796E-3</v>
      </c>
      <c r="U191" s="1">
        <v>4.3644335118235098E-3</v>
      </c>
      <c r="V191" s="1">
        <v>3.8803846739539501E-3</v>
      </c>
      <c r="W191" s="1">
        <v>4.0481361461319997E-3</v>
      </c>
      <c r="X191" s="1">
        <v>4.1954027059356797E-3</v>
      </c>
      <c r="Y191" s="1">
        <v>2.8649114105564E-3</v>
      </c>
      <c r="Z191" s="1">
        <v>4.1249607310886102E-3</v>
      </c>
      <c r="AA191" s="1">
        <v>5.3227408514456903E-3</v>
      </c>
      <c r="AB191" s="1">
        <v>4.1866170297069401E-3</v>
      </c>
      <c r="AC191" s="1">
        <v>5.76102262270063E-3</v>
      </c>
      <c r="AD191" s="1">
        <v>7.6489211685598097E-3</v>
      </c>
      <c r="AE191" s="1">
        <v>4.4268461322908501E-3</v>
      </c>
      <c r="AF191" s="1">
        <v>3.0234514115960601E-3</v>
      </c>
      <c r="AG191" s="1">
        <v>1.0350462668756699</v>
      </c>
      <c r="AH191" s="1">
        <v>3.81699183446097E-3</v>
      </c>
      <c r="AI191" s="1">
        <v>3.2982682948299201E-3</v>
      </c>
      <c r="AJ191" s="1">
        <v>6.1669583216689503E-3</v>
      </c>
      <c r="AK191" s="1">
        <v>5.39954846176124E-3</v>
      </c>
      <c r="AL191" s="1">
        <v>2.9386086906230198E-3</v>
      </c>
      <c r="AM191" s="1">
        <v>7.4781684490053896E-3</v>
      </c>
      <c r="AN191" s="1">
        <v>3.09815996018762E-2</v>
      </c>
      <c r="AO191" s="1">
        <v>7.01535477403715E-3</v>
      </c>
      <c r="AP191" s="1">
        <v>4.5160961766597899E-3</v>
      </c>
      <c r="AQ191" s="1">
        <v>1.22276079161297E-2</v>
      </c>
      <c r="AR191" s="1">
        <v>8.1651632186742294E-3</v>
      </c>
      <c r="AS191" s="1">
        <v>1.93702138542572E-2</v>
      </c>
      <c r="AT191" s="1">
        <v>0</v>
      </c>
    </row>
    <row r="192" spans="1:46" x14ac:dyDescent="0.3">
      <c r="A192" s="14" t="s">
        <v>86</v>
      </c>
      <c r="B192" s="1">
        <v>8.1308968591960497E-3</v>
      </c>
      <c r="C192" s="1">
        <v>1.1746891610340499E-2</v>
      </c>
      <c r="D192" s="1">
        <v>7.8728683873270401E-3</v>
      </c>
      <c r="E192" s="1">
        <v>7.4757038916651204E-3</v>
      </c>
      <c r="F192" s="1">
        <v>7.3382637927885503E-3</v>
      </c>
      <c r="G192" s="1">
        <v>1.75174481460991E-2</v>
      </c>
      <c r="H192" s="1">
        <v>1.01793690646693E-2</v>
      </c>
      <c r="I192" s="1">
        <v>1.06091804318685E-2</v>
      </c>
      <c r="J192" s="1">
        <v>1.5765120118026801E-2</v>
      </c>
      <c r="K192" s="1">
        <v>7.7438075347228104E-3</v>
      </c>
      <c r="L192" s="1">
        <v>1.1731646461258001E-2</v>
      </c>
      <c r="M192" s="1">
        <v>1.8966746022712099E-2</v>
      </c>
      <c r="N192" s="1">
        <v>1.45759556380054E-2</v>
      </c>
      <c r="O192" s="1">
        <v>9.5413172395852792E-3</v>
      </c>
      <c r="P192" s="1">
        <v>8.0889288409011998E-3</v>
      </c>
      <c r="Q192" s="1">
        <v>8.6188571907219996E-3</v>
      </c>
      <c r="R192" s="1">
        <v>1.70722780388184E-2</v>
      </c>
      <c r="S192" s="1">
        <v>1.06302084052564E-2</v>
      </c>
      <c r="T192" s="1">
        <v>9.0290369432979595E-3</v>
      </c>
      <c r="U192" s="1">
        <v>1.1299632961971499E-2</v>
      </c>
      <c r="V192" s="1">
        <v>7.7885663724898196E-3</v>
      </c>
      <c r="W192" s="1">
        <v>1.0835300951316599E-2</v>
      </c>
      <c r="X192" s="1">
        <v>8.4278424132979805E-3</v>
      </c>
      <c r="Y192" s="1">
        <v>8.4037371024072802E-3</v>
      </c>
      <c r="Z192" s="1">
        <v>8.7919892459817506E-3</v>
      </c>
      <c r="AA192" s="1">
        <v>2.3554919516092902E-2</v>
      </c>
      <c r="AB192" s="1">
        <v>8.8243073835858107E-3</v>
      </c>
      <c r="AC192" s="1">
        <v>1.32858574186418E-2</v>
      </c>
      <c r="AD192" s="1">
        <v>1.2344306590917399E-2</v>
      </c>
      <c r="AE192" s="1">
        <v>7.9434162004986195E-3</v>
      </c>
      <c r="AF192" s="1">
        <v>9.3736920099800301E-3</v>
      </c>
      <c r="AG192" s="1">
        <v>1.49075934858439E-2</v>
      </c>
      <c r="AH192" s="1">
        <v>1.1399441123806699</v>
      </c>
      <c r="AI192" s="1">
        <v>3.1063185835996099E-2</v>
      </c>
      <c r="AJ192" s="1">
        <v>1.0390953537488101E-2</v>
      </c>
      <c r="AK192" s="1">
        <v>1.0004251492198701E-2</v>
      </c>
      <c r="AL192" s="1">
        <v>8.9927002751092194E-3</v>
      </c>
      <c r="AM192" s="1">
        <v>2.12462959041042E-2</v>
      </c>
      <c r="AN192" s="1">
        <v>2.3758748134086499E-2</v>
      </c>
      <c r="AO192" s="1">
        <v>5.8110625091714399E-3</v>
      </c>
      <c r="AP192" s="1">
        <v>1.8070318716191799E-2</v>
      </c>
      <c r="AQ192" s="1">
        <v>6.9040413570735301E-3</v>
      </c>
      <c r="AR192" s="1">
        <v>3.98917291447866E-2</v>
      </c>
      <c r="AS192" s="1">
        <v>3.90789568882286E-2</v>
      </c>
      <c r="AT192" s="1">
        <v>0</v>
      </c>
    </row>
    <row r="193" spans="1:46" x14ac:dyDescent="0.3">
      <c r="A193" s="14" t="s">
        <v>87</v>
      </c>
      <c r="B193" s="1">
        <v>8.5636674721314004E-3</v>
      </c>
      <c r="C193" s="1">
        <v>1.9025618335931398E-2</v>
      </c>
      <c r="D193" s="1">
        <v>1.17681206832102E-2</v>
      </c>
      <c r="E193" s="1">
        <v>1.1071205727185901E-2</v>
      </c>
      <c r="F193" s="1">
        <v>9.8413905981376802E-3</v>
      </c>
      <c r="G193" s="1">
        <v>1.3242822139421E-2</v>
      </c>
      <c r="H193" s="1">
        <v>1.10366172210418E-2</v>
      </c>
      <c r="I193" s="1">
        <v>1.30698925459291E-2</v>
      </c>
      <c r="J193" s="1">
        <v>1.33153106881609E-2</v>
      </c>
      <c r="K193" s="1">
        <v>9.7765662583103492E-3</v>
      </c>
      <c r="L193" s="1">
        <v>1.1135569149310701E-2</v>
      </c>
      <c r="M193" s="1">
        <v>9.3850464366835203E-3</v>
      </c>
      <c r="N193" s="1">
        <v>1.2950871978948999E-2</v>
      </c>
      <c r="O193" s="1">
        <v>1.1758562968824901E-2</v>
      </c>
      <c r="P193" s="1">
        <v>1.02917358823661E-2</v>
      </c>
      <c r="Q193" s="1">
        <v>1.07647008946297E-2</v>
      </c>
      <c r="R193" s="1">
        <v>1.54078820265034E-2</v>
      </c>
      <c r="S193" s="1">
        <v>1.0601306425796399E-2</v>
      </c>
      <c r="T193" s="1">
        <v>1.24186637037513E-2</v>
      </c>
      <c r="U193" s="1">
        <v>1.16347176597429E-2</v>
      </c>
      <c r="V193" s="1">
        <v>1.05661003554442E-2</v>
      </c>
      <c r="W193" s="1">
        <v>1.2457110547070599E-2</v>
      </c>
      <c r="X193" s="1">
        <v>1.0295857002050501E-2</v>
      </c>
      <c r="Y193" s="1">
        <v>1.39646708260284E-2</v>
      </c>
      <c r="Z193" s="1">
        <v>1.3907646858629399E-2</v>
      </c>
      <c r="AA193" s="1">
        <v>1.7828627484735401E-2</v>
      </c>
      <c r="AB193" s="1">
        <v>1.63910921604856E-2</v>
      </c>
      <c r="AC193" s="1">
        <v>1.7985865882657499E-2</v>
      </c>
      <c r="AD193" s="1">
        <v>1.6135209360485799E-2</v>
      </c>
      <c r="AE193" s="1">
        <v>1.38062528145714E-2</v>
      </c>
      <c r="AF193" s="1">
        <v>1.3969319469901299E-2</v>
      </c>
      <c r="AG193" s="1">
        <v>1.36610480152721E-2</v>
      </c>
      <c r="AH193" s="1">
        <v>3.81335850070499E-2</v>
      </c>
      <c r="AI193" s="1">
        <v>1.0412766424070901</v>
      </c>
      <c r="AJ193" s="1">
        <v>2.5070610920681899E-2</v>
      </c>
      <c r="AK193" s="1">
        <v>2.0381584265357699E-2</v>
      </c>
      <c r="AL193" s="1">
        <v>1.0508093197732901E-2</v>
      </c>
      <c r="AM193" s="1">
        <v>1.9118223666198801E-2</v>
      </c>
      <c r="AN193" s="1">
        <v>1.7723927654663699E-2</v>
      </c>
      <c r="AO193" s="1">
        <v>1.4371610108762299E-2</v>
      </c>
      <c r="AP193" s="1">
        <v>1.1451673894782501E-2</v>
      </c>
      <c r="AQ193" s="1">
        <v>1.34617627939633E-2</v>
      </c>
      <c r="AR193" s="1">
        <v>3.3594513942722601E-2</v>
      </c>
      <c r="AS193" s="1">
        <v>2.31127651563518E-2</v>
      </c>
      <c r="AT193" s="1">
        <v>0</v>
      </c>
    </row>
    <row r="194" spans="1:46" x14ac:dyDescent="0.3">
      <c r="A194" s="14" t="s">
        <v>88</v>
      </c>
      <c r="B194" s="1">
        <v>1.34366313155129E-2</v>
      </c>
      <c r="C194" s="1">
        <v>1.7551724527950101E-2</v>
      </c>
      <c r="D194" s="1">
        <v>1.7452749979090899E-2</v>
      </c>
      <c r="E194" s="1">
        <v>1.54254156310906E-2</v>
      </c>
      <c r="F194" s="1">
        <v>3.19605327506002E-2</v>
      </c>
      <c r="G194" s="1">
        <v>2.38527730545155E-2</v>
      </c>
      <c r="H194" s="1">
        <v>1.5869047634161099E-2</v>
      </c>
      <c r="I194" s="1">
        <v>1.67153178687885E-2</v>
      </c>
      <c r="J194" s="1">
        <v>2.0081613847207101E-2</v>
      </c>
      <c r="K194" s="1">
        <v>1.4091327843207199E-2</v>
      </c>
      <c r="L194" s="1">
        <v>1.8546683124977401E-2</v>
      </c>
      <c r="M194" s="1">
        <v>1.5085273301674799E-2</v>
      </c>
      <c r="N194" s="1">
        <v>2.0739807938197501E-2</v>
      </c>
      <c r="O194" s="1">
        <v>1.8871687443688102E-2</v>
      </c>
      <c r="P194" s="1">
        <v>2.08240514052534E-2</v>
      </c>
      <c r="Q194" s="1">
        <v>1.7464024590942599E-2</v>
      </c>
      <c r="R194" s="1">
        <v>5.8975083193728801E-2</v>
      </c>
      <c r="S194" s="1">
        <v>2.2091089779996301E-2</v>
      </c>
      <c r="T194" s="1">
        <v>1.9062737279927699E-2</v>
      </c>
      <c r="U194" s="1">
        <v>2.1796175439101999E-2</v>
      </c>
      <c r="V194" s="1">
        <v>1.6603721155080801E-2</v>
      </c>
      <c r="W194" s="1">
        <v>2.02907993855642E-2</v>
      </c>
      <c r="X194" s="1">
        <v>2.38903170219519E-2</v>
      </c>
      <c r="Y194" s="1">
        <v>2.4198963347816099E-2</v>
      </c>
      <c r="Z194" s="1">
        <v>1.9551467901467601E-2</v>
      </c>
      <c r="AA194" s="1">
        <v>3.1308004484452701E-2</v>
      </c>
      <c r="AB194" s="1">
        <v>2.37950660131632E-2</v>
      </c>
      <c r="AC194" s="1">
        <v>2.2723094695573199E-2</v>
      </c>
      <c r="AD194" s="1">
        <v>4.3766981138655597E-2</v>
      </c>
      <c r="AE194" s="1">
        <v>2.6834805008563601E-2</v>
      </c>
      <c r="AF194" s="1">
        <v>2.6448851551863099E-2</v>
      </c>
      <c r="AG194" s="1">
        <v>1.9253249392224701E-2</v>
      </c>
      <c r="AH194" s="1">
        <v>6.9477463334255293E-2</v>
      </c>
      <c r="AI194" s="1">
        <v>4.9421794455785602E-2</v>
      </c>
      <c r="AJ194" s="1">
        <v>1.1257473571157499</v>
      </c>
      <c r="AK194" s="1">
        <v>6.1053907465891601E-2</v>
      </c>
      <c r="AL194" s="1">
        <v>1.7781519481000201E-2</v>
      </c>
      <c r="AM194" s="1">
        <v>2.6859738993690301E-2</v>
      </c>
      <c r="AN194" s="1">
        <v>2.1678565197304801E-2</v>
      </c>
      <c r="AO194" s="1">
        <v>2.2670253636711098E-2</v>
      </c>
      <c r="AP194" s="1">
        <v>1.19896271715337E-2</v>
      </c>
      <c r="AQ194" s="1">
        <v>1.46423961412874E-2</v>
      </c>
      <c r="AR194" s="1">
        <v>2.5800253523857699E-2</v>
      </c>
      <c r="AS194" s="1">
        <v>2.2215131314260901E-2</v>
      </c>
      <c r="AT194" s="1">
        <v>0</v>
      </c>
    </row>
    <row r="195" spans="1:46" x14ac:dyDescent="0.3">
      <c r="A195" s="14" t="s">
        <v>89</v>
      </c>
      <c r="B195" s="1">
        <v>5.3457597575464103E-2</v>
      </c>
      <c r="C195" s="1">
        <v>6.5474074268253898E-2</v>
      </c>
      <c r="D195" s="1">
        <v>4.7051467809474501E-2</v>
      </c>
      <c r="E195" s="1">
        <v>5.0479575845969002E-2</v>
      </c>
      <c r="F195" s="1">
        <v>4.7093055293050599E-2</v>
      </c>
      <c r="G195" s="1">
        <v>5.8452958574150102E-2</v>
      </c>
      <c r="H195" s="1">
        <v>4.5768951794306602E-2</v>
      </c>
      <c r="I195" s="1">
        <v>5.6976086241573298E-2</v>
      </c>
      <c r="J195" s="1">
        <v>5.7871205948569197E-2</v>
      </c>
      <c r="K195" s="1">
        <v>4.4202779579261102E-2</v>
      </c>
      <c r="L195" s="1">
        <v>5.3790026239116502E-2</v>
      </c>
      <c r="M195" s="1">
        <v>4.0587839806664097E-2</v>
      </c>
      <c r="N195" s="1">
        <v>5.8762360401364302E-2</v>
      </c>
      <c r="O195" s="1">
        <v>4.6683390411226003E-2</v>
      </c>
      <c r="P195" s="1">
        <v>4.72139752075258E-2</v>
      </c>
      <c r="Q195" s="1">
        <v>5.1446579050667997E-2</v>
      </c>
      <c r="R195" s="1">
        <v>5.6300948521200503E-2</v>
      </c>
      <c r="S195" s="1">
        <v>4.5991495759152103E-2</v>
      </c>
      <c r="T195" s="1">
        <v>4.8718977656413399E-2</v>
      </c>
      <c r="U195" s="1">
        <v>4.6525235274065102E-2</v>
      </c>
      <c r="V195" s="1">
        <v>4.3546584707856897E-2</v>
      </c>
      <c r="W195" s="1">
        <v>5.2093233002727397E-2</v>
      </c>
      <c r="X195" s="1">
        <v>5.1139370595318097E-2</v>
      </c>
      <c r="Y195" s="1">
        <v>5.2226016254884398E-2</v>
      </c>
      <c r="Z195" s="1">
        <v>6.5310527552300504E-2</v>
      </c>
      <c r="AA195" s="1">
        <v>7.5757576904139798E-2</v>
      </c>
      <c r="AB195" s="1">
        <v>5.7709831011985901E-2</v>
      </c>
      <c r="AC195" s="1">
        <v>8.0866743407535593E-2</v>
      </c>
      <c r="AD195" s="1">
        <v>8.6808115192082799E-2</v>
      </c>
      <c r="AE195" s="1">
        <v>6.7457082071834595E-2</v>
      </c>
      <c r="AF195" s="1">
        <v>3.0353093759559701E-2</v>
      </c>
      <c r="AG195" s="1">
        <v>7.0561030789888596E-2</v>
      </c>
      <c r="AH195" s="1">
        <v>4.2341768699042798E-2</v>
      </c>
      <c r="AI195" s="1">
        <v>3.9423028698309298E-2</v>
      </c>
      <c r="AJ195" s="1">
        <v>4.9903962538063798E-2</v>
      </c>
      <c r="AK195" s="1">
        <v>1.2687339086520699</v>
      </c>
      <c r="AL195" s="1">
        <v>9.4912910251433599E-2</v>
      </c>
      <c r="AM195" s="1">
        <v>6.4568939125176902E-2</v>
      </c>
      <c r="AN195" s="1">
        <v>5.8880489004582301E-2</v>
      </c>
      <c r="AO195" s="1">
        <v>4.32093205682266E-2</v>
      </c>
      <c r="AP195" s="1">
        <v>1.7315589129128599E-2</v>
      </c>
      <c r="AQ195" s="1">
        <v>2.9679970513015502E-2</v>
      </c>
      <c r="AR195" s="1">
        <v>4.4634411994750503E-2</v>
      </c>
      <c r="AS195" s="1">
        <v>6.1078258876154902E-2</v>
      </c>
      <c r="AT195" s="1">
        <v>0</v>
      </c>
    </row>
    <row r="196" spans="1:46" x14ac:dyDescent="0.3">
      <c r="A196" s="14" t="s">
        <v>90</v>
      </c>
      <c r="B196" s="1">
        <v>2.4738476155248199E-2</v>
      </c>
      <c r="C196" s="1">
        <v>3.4619430381078301E-2</v>
      </c>
      <c r="D196" s="1">
        <v>4.2239711842950702E-2</v>
      </c>
      <c r="E196" s="1">
        <v>2.9239465126248299E-2</v>
      </c>
      <c r="F196" s="1">
        <v>2.2672319738780599E-2</v>
      </c>
      <c r="G196" s="1">
        <v>3.9562724073199503E-2</v>
      </c>
      <c r="H196" s="1">
        <v>3.2029213301179402E-2</v>
      </c>
      <c r="I196" s="1">
        <v>3.6978508510415203E-2</v>
      </c>
      <c r="J196" s="1">
        <v>4.1361916349738799E-2</v>
      </c>
      <c r="K196" s="1">
        <v>2.7607911837046601E-2</v>
      </c>
      <c r="L196" s="1">
        <v>3.4636883887139903E-2</v>
      </c>
      <c r="M196" s="1">
        <v>3.4791575251840401E-2</v>
      </c>
      <c r="N196" s="1">
        <v>4.3940505948800397E-2</v>
      </c>
      <c r="O196" s="1">
        <v>3.3455691346515999E-2</v>
      </c>
      <c r="P196" s="1">
        <v>3.5202557492406403E-2</v>
      </c>
      <c r="Q196" s="1">
        <v>3.3768218177922298E-2</v>
      </c>
      <c r="R196" s="1">
        <v>4.5319860211639001E-2</v>
      </c>
      <c r="S196" s="1">
        <v>3.3038097297574703E-2</v>
      </c>
      <c r="T196" s="1">
        <v>3.6477485118538398E-2</v>
      </c>
      <c r="U196" s="1">
        <v>3.7695087334733E-2</v>
      </c>
      <c r="V196" s="1">
        <v>3.7331043370615997E-2</v>
      </c>
      <c r="W196" s="1">
        <v>3.5270672441644002E-2</v>
      </c>
      <c r="X196" s="1">
        <v>4.1950531869575799E-2</v>
      </c>
      <c r="Y196" s="1">
        <v>5.1787598102154497E-2</v>
      </c>
      <c r="Z196" s="1">
        <v>4.0323400674638799E-2</v>
      </c>
      <c r="AA196" s="1">
        <v>5.96012505922165E-2</v>
      </c>
      <c r="AB196" s="1">
        <v>4.0283442414415102E-2</v>
      </c>
      <c r="AC196" s="1">
        <v>7.8815532417973996E-2</v>
      </c>
      <c r="AD196" s="1">
        <v>5.2170247967531502E-2</v>
      </c>
      <c r="AE196" s="1">
        <v>4.3687602981110803E-2</v>
      </c>
      <c r="AF196" s="1">
        <v>1.56612805754901E-2</v>
      </c>
      <c r="AG196" s="1">
        <v>5.8691124146486598E-2</v>
      </c>
      <c r="AH196" s="1">
        <v>4.6180546871268303E-2</v>
      </c>
      <c r="AI196" s="1">
        <v>3.7188990704476198E-2</v>
      </c>
      <c r="AJ196" s="1">
        <v>5.2400274146844103E-2</v>
      </c>
      <c r="AK196" s="1">
        <v>3.7665532745712001E-2</v>
      </c>
      <c r="AL196" s="1">
        <v>1.03459148041842</v>
      </c>
      <c r="AM196" s="1">
        <v>4.9500559330041702E-2</v>
      </c>
      <c r="AN196" s="1">
        <v>4.5593106694588097E-2</v>
      </c>
      <c r="AO196" s="1">
        <v>3.0017851998344398E-2</v>
      </c>
      <c r="AP196" s="1">
        <v>2.6955443631910499E-2</v>
      </c>
      <c r="AQ196" s="1">
        <v>3.19029093052354E-2</v>
      </c>
      <c r="AR196" s="1">
        <v>6.9152462582452806E-2</v>
      </c>
      <c r="AS196" s="1">
        <v>6.2160156641614901E-2</v>
      </c>
      <c r="AT196" s="1">
        <v>0</v>
      </c>
    </row>
    <row r="197" spans="1:46" x14ac:dyDescent="0.3">
      <c r="A197" s="14" t="s">
        <v>91</v>
      </c>
      <c r="B197" s="1">
        <v>4.7677013198105099E-2</v>
      </c>
      <c r="C197" s="1">
        <v>7.2064710730841197E-2</v>
      </c>
      <c r="D197" s="1">
        <v>9.0046635547355994E-2</v>
      </c>
      <c r="E197" s="1">
        <v>9.2323379424693194E-2</v>
      </c>
      <c r="F197" s="1">
        <v>0.11180647150251199</v>
      </c>
      <c r="G197" s="1">
        <v>9.0692661695164406E-2</v>
      </c>
      <c r="H197" s="1">
        <v>6.0440367042034503E-2</v>
      </c>
      <c r="I197" s="1">
        <v>6.4170568836553199E-2</v>
      </c>
      <c r="J197" s="1">
        <v>6.9478579774901503E-2</v>
      </c>
      <c r="K197" s="1">
        <v>6.9475361013763795E-2</v>
      </c>
      <c r="L197" s="1">
        <v>7.2720901316146003E-2</v>
      </c>
      <c r="M197" s="1">
        <v>8.9887273436602105E-2</v>
      </c>
      <c r="N197" s="1">
        <v>8.2545417089360806E-2</v>
      </c>
      <c r="O197" s="1">
        <v>7.6937690517056206E-2</v>
      </c>
      <c r="P197" s="1">
        <v>6.1228309878047102E-2</v>
      </c>
      <c r="Q197" s="1">
        <v>6.2926060087230798E-2</v>
      </c>
      <c r="R197" s="1">
        <v>0.104558788169529</v>
      </c>
      <c r="S197" s="1">
        <v>6.45948957426139E-2</v>
      </c>
      <c r="T197" s="1">
        <v>6.8329612109826701E-2</v>
      </c>
      <c r="U197" s="1">
        <v>9.8726503660175394E-2</v>
      </c>
      <c r="V197" s="1">
        <v>7.2739942677488595E-2</v>
      </c>
      <c r="W197" s="1">
        <v>7.0381032923432799E-2</v>
      </c>
      <c r="X197" s="1">
        <v>0.104447696295893</v>
      </c>
      <c r="Y197" s="1">
        <v>6.5509385261293102E-2</v>
      </c>
      <c r="Z197" s="1">
        <v>8.5606922178548303E-2</v>
      </c>
      <c r="AA197" s="1">
        <v>0.105637179009249</v>
      </c>
      <c r="AB197" s="1">
        <v>5.7578148344605097E-2</v>
      </c>
      <c r="AC197" s="1">
        <v>0.24798693878599101</v>
      </c>
      <c r="AD197" s="1">
        <v>9.9049045941977401E-2</v>
      </c>
      <c r="AE197" s="1">
        <v>6.8851302229660696E-2</v>
      </c>
      <c r="AF197" s="1">
        <v>2.9262884213868402E-2</v>
      </c>
      <c r="AG197" s="1">
        <v>7.0584552102464004E-2</v>
      </c>
      <c r="AH197" s="1">
        <v>7.6672258429617293E-2</v>
      </c>
      <c r="AI197" s="1">
        <v>9.0863551011120799E-2</v>
      </c>
      <c r="AJ197" s="1">
        <v>8.5420619409963205E-2</v>
      </c>
      <c r="AK197" s="1">
        <v>7.8519602754082998E-2</v>
      </c>
      <c r="AL197" s="1">
        <v>7.7884484997836401E-2</v>
      </c>
      <c r="AM197" s="1">
        <v>1.1565504691002</v>
      </c>
      <c r="AN197" s="1">
        <v>8.7257445860614194E-2</v>
      </c>
      <c r="AO197" s="1">
        <v>3.2957895206745802E-2</v>
      </c>
      <c r="AP197" s="1">
        <v>2.44091474150866E-2</v>
      </c>
      <c r="AQ197" s="1">
        <v>4.1221627004770597E-2</v>
      </c>
      <c r="AR197" s="1">
        <v>8.1302736714063004E-2</v>
      </c>
      <c r="AS197" s="1">
        <v>5.7236418464261599E-2</v>
      </c>
      <c r="AT197" s="1">
        <v>0</v>
      </c>
    </row>
    <row r="198" spans="1:46" x14ac:dyDescent="0.3">
      <c r="A198" s="14" t="s">
        <v>92</v>
      </c>
      <c r="B198" s="1">
        <v>3.1285041826181602E-2</v>
      </c>
      <c r="C198" s="1">
        <v>4.5097020611993097E-2</v>
      </c>
      <c r="D198" s="1">
        <v>9.42487531980815E-2</v>
      </c>
      <c r="E198" s="1">
        <v>4.4289090345494601E-2</v>
      </c>
      <c r="F198" s="1">
        <v>5.9500784318319601E-2</v>
      </c>
      <c r="G198" s="1">
        <v>5.6321161171810102E-2</v>
      </c>
      <c r="H198" s="1">
        <v>4.8776935601804301E-2</v>
      </c>
      <c r="I198" s="1">
        <v>4.7675889545672603E-2</v>
      </c>
      <c r="J198" s="1">
        <v>6.0025325050287598E-2</v>
      </c>
      <c r="K198" s="1">
        <v>4.7046795320088201E-2</v>
      </c>
      <c r="L198" s="1">
        <v>5.0796523872505703E-2</v>
      </c>
      <c r="M198" s="1">
        <v>6.7944282695187805E-2</v>
      </c>
      <c r="N198" s="1">
        <v>5.7473156999624901E-2</v>
      </c>
      <c r="O198" s="1">
        <v>5.8000089489858901E-2</v>
      </c>
      <c r="P198" s="1">
        <v>5.1874065937104599E-2</v>
      </c>
      <c r="Q198" s="1">
        <v>5.3454303740867903E-2</v>
      </c>
      <c r="R198" s="1">
        <v>9.3343547921964698E-2</v>
      </c>
      <c r="S198" s="1">
        <v>6.2086782963472399E-2</v>
      </c>
      <c r="T198" s="1">
        <v>4.98345463521375E-2</v>
      </c>
      <c r="U198" s="1">
        <v>5.6062023861985402E-2</v>
      </c>
      <c r="V198" s="1">
        <v>5.45067234995225E-2</v>
      </c>
      <c r="W198" s="1">
        <v>5.6998944705977099E-2</v>
      </c>
      <c r="X198" s="1">
        <v>6.1724151177235197E-2</v>
      </c>
      <c r="Y198" s="1">
        <v>4.2374961311020899E-2</v>
      </c>
      <c r="Z198" s="1">
        <v>5.2510183712452099E-2</v>
      </c>
      <c r="AA198" s="1">
        <v>6.8794507886029699E-2</v>
      </c>
      <c r="AB198" s="1">
        <v>5.2536643603568398E-2</v>
      </c>
      <c r="AC198" s="1">
        <v>8.7525202470728106E-2</v>
      </c>
      <c r="AD198" s="1">
        <v>0.11393989794128601</v>
      </c>
      <c r="AE198" s="1">
        <v>4.0617423963797902E-2</v>
      </c>
      <c r="AF198" s="1">
        <v>2.5386632703700202E-2</v>
      </c>
      <c r="AG198" s="1">
        <v>5.1063052164235997E-2</v>
      </c>
      <c r="AH198" s="1">
        <v>3.8374121947333001E-2</v>
      </c>
      <c r="AI198" s="1">
        <v>4.8646420015471703E-2</v>
      </c>
      <c r="AJ198" s="1">
        <v>6.1324756396057598E-2</v>
      </c>
      <c r="AK198" s="1">
        <v>6.8725112215538897E-2</v>
      </c>
      <c r="AL198" s="1">
        <v>4.3177686088961602E-2</v>
      </c>
      <c r="AM198" s="1">
        <v>5.2059912665145897E-2</v>
      </c>
      <c r="AN198" s="1">
        <v>1.0633269694715599</v>
      </c>
      <c r="AO198" s="1">
        <v>2.3543954314589801E-2</v>
      </c>
      <c r="AP198" s="1">
        <v>2.00132181298164E-2</v>
      </c>
      <c r="AQ198" s="1">
        <v>3.4475061246337403E-2</v>
      </c>
      <c r="AR198" s="1">
        <v>7.0474518009418799E-2</v>
      </c>
      <c r="AS198" s="1">
        <v>3.7668074280663703E-2</v>
      </c>
      <c r="AT198" s="1">
        <v>0</v>
      </c>
    </row>
    <row r="199" spans="1:46" x14ac:dyDescent="0.3">
      <c r="A199" s="14" t="s">
        <v>93</v>
      </c>
      <c r="B199" s="1">
        <v>9.6747131836373793E-3</v>
      </c>
      <c r="C199" s="1">
        <v>1.7646029788564301E-2</v>
      </c>
      <c r="D199" s="1">
        <v>1.46809846036973E-2</v>
      </c>
      <c r="E199" s="1">
        <v>1.28984495433083E-2</v>
      </c>
      <c r="F199" s="1">
        <v>1.57160936818319E-2</v>
      </c>
      <c r="G199" s="1">
        <v>1.1755483206835801E-2</v>
      </c>
      <c r="H199" s="1">
        <v>7.7741683254016801E-3</v>
      </c>
      <c r="I199" s="1">
        <v>8.65334935504679E-3</v>
      </c>
      <c r="J199" s="1">
        <v>9.1664346668290896E-3</v>
      </c>
      <c r="K199" s="1">
        <v>8.9895858206911605E-3</v>
      </c>
      <c r="L199" s="1">
        <v>9.1530040228785508E-3</v>
      </c>
      <c r="M199" s="1">
        <v>6.3288226552158499E-3</v>
      </c>
      <c r="N199" s="1">
        <v>9.4877995818858606E-3</v>
      </c>
      <c r="O199" s="1">
        <v>8.9643444575990602E-3</v>
      </c>
      <c r="P199" s="1">
        <v>8.9847296835178399E-3</v>
      </c>
      <c r="Q199" s="1">
        <v>8.0077497471303105E-3</v>
      </c>
      <c r="R199" s="1">
        <v>1.1896802128306599E-2</v>
      </c>
      <c r="S199" s="1">
        <v>8.2063671778656606E-3</v>
      </c>
      <c r="T199" s="1">
        <v>8.2745236678545397E-3</v>
      </c>
      <c r="U199" s="1">
        <v>9.1602494896556499E-3</v>
      </c>
      <c r="V199" s="1">
        <v>8.1800814618827097E-3</v>
      </c>
      <c r="W199" s="1">
        <v>8.1542996604153095E-3</v>
      </c>
      <c r="X199" s="1">
        <v>1.1210695027937499E-2</v>
      </c>
      <c r="Y199" s="1">
        <v>1.8116086261898801E-2</v>
      </c>
      <c r="Z199" s="1">
        <v>8.9766540795199103E-3</v>
      </c>
      <c r="AA199" s="1">
        <v>1.3572446447005599E-2</v>
      </c>
      <c r="AB199" s="1">
        <v>1.8064471691938699E-2</v>
      </c>
      <c r="AC199" s="1">
        <v>2.9215910046885799E-2</v>
      </c>
      <c r="AD199" s="1">
        <v>2.8720985111486599E-2</v>
      </c>
      <c r="AE199" s="1">
        <v>1.30198017833045E-2</v>
      </c>
      <c r="AF199" s="1">
        <v>5.5238216067469304E-3</v>
      </c>
      <c r="AG199" s="1">
        <v>1.1139857176259E-2</v>
      </c>
      <c r="AH199" s="1">
        <v>8.3559345948758992E-3</v>
      </c>
      <c r="AI199" s="1">
        <v>2.23747401320127E-2</v>
      </c>
      <c r="AJ199" s="1">
        <v>9.3319230257162995E-3</v>
      </c>
      <c r="AK199" s="1">
        <v>1.5304105164491299E-2</v>
      </c>
      <c r="AL199" s="1">
        <v>7.9419792358464605E-3</v>
      </c>
      <c r="AM199" s="1">
        <v>1.1363490847260399E-2</v>
      </c>
      <c r="AN199" s="1">
        <v>9.2595505969000295E-3</v>
      </c>
      <c r="AO199" s="1">
        <v>1.0228099933855801</v>
      </c>
      <c r="AP199" s="1">
        <v>4.02516598736803E-3</v>
      </c>
      <c r="AQ199" s="1">
        <v>4.6637045287636E-3</v>
      </c>
      <c r="AR199" s="1">
        <v>1.7752550175217499E-2</v>
      </c>
      <c r="AS199" s="1">
        <v>1.6565835175714701E-2</v>
      </c>
      <c r="AT199" s="1">
        <v>0</v>
      </c>
    </row>
    <row r="200" spans="1:46" x14ac:dyDescent="0.3">
      <c r="A200" s="14" t="s">
        <v>94</v>
      </c>
      <c r="B200" s="1">
        <v>2.1732107758753098E-3</v>
      </c>
      <c r="C200" s="1">
        <v>3.7984906097515399E-3</v>
      </c>
      <c r="D200" s="1">
        <v>2.8598541227998898E-3</v>
      </c>
      <c r="E200" s="1">
        <v>1.99546479598391E-3</v>
      </c>
      <c r="F200" s="1">
        <v>2.3909262243121E-3</v>
      </c>
      <c r="G200" s="1">
        <v>3.3233042226280098E-3</v>
      </c>
      <c r="H200" s="1">
        <v>2.7145517334614499E-3</v>
      </c>
      <c r="I200" s="1">
        <v>3.1227403801446698E-3</v>
      </c>
      <c r="J200" s="1">
        <v>3.4772231916461601E-3</v>
      </c>
      <c r="K200" s="1">
        <v>2.2732270935722399E-3</v>
      </c>
      <c r="L200" s="1">
        <v>2.8974270133992402E-3</v>
      </c>
      <c r="M200" s="1">
        <v>3.3701700594519399E-3</v>
      </c>
      <c r="N200" s="1">
        <v>4.2192265542059003E-3</v>
      </c>
      <c r="O200" s="1">
        <v>2.9658003934280898E-3</v>
      </c>
      <c r="P200" s="1">
        <v>2.92110603334929E-3</v>
      </c>
      <c r="Q200" s="1">
        <v>2.6946113172770601E-3</v>
      </c>
      <c r="R200" s="1">
        <v>4.1232020029624804E-3</v>
      </c>
      <c r="S200" s="1">
        <v>3.1705841764621901E-3</v>
      </c>
      <c r="T200" s="1">
        <v>3.6589740503180901E-3</v>
      </c>
      <c r="U200" s="1">
        <v>3.44142807852951E-3</v>
      </c>
      <c r="V200" s="1">
        <v>4.2463190311306598E-3</v>
      </c>
      <c r="W200" s="1">
        <v>3.0459583890993201E-3</v>
      </c>
      <c r="X200" s="1">
        <v>2.7517333397034599E-3</v>
      </c>
      <c r="Y200" s="1">
        <v>3.2443561301844998E-3</v>
      </c>
      <c r="Z200" s="1">
        <v>2.9538788283653299E-3</v>
      </c>
      <c r="AA200" s="1">
        <v>4.8415280341229799E-3</v>
      </c>
      <c r="AB200" s="1">
        <v>2.6378518071643502E-3</v>
      </c>
      <c r="AC200" s="1">
        <v>3.3569747996690501E-3</v>
      </c>
      <c r="AD200" s="1">
        <v>6.3750597021693198E-3</v>
      </c>
      <c r="AE200" s="1">
        <v>3.65422286651942E-3</v>
      </c>
      <c r="AF200" s="1">
        <v>3.2285922308452199E-3</v>
      </c>
      <c r="AG200" s="1">
        <v>3.1590813001909799E-3</v>
      </c>
      <c r="AH200" s="1">
        <v>2.9001238034460902E-3</v>
      </c>
      <c r="AI200" s="1">
        <v>3.7110596836855102E-3</v>
      </c>
      <c r="AJ200" s="1">
        <v>5.2491086246061599E-3</v>
      </c>
      <c r="AK200" s="1">
        <v>6.0570933313956301E-3</v>
      </c>
      <c r="AL200" s="1">
        <v>1.9970722930037202E-3</v>
      </c>
      <c r="AM200" s="1">
        <v>4.7678366977790603E-3</v>
      </c>
      <c r="AN200" s="1">
        <v>4.0335082564583197E-3</v>
      </c>
      <c r="AO200" s="1">
        <v>3.7082361573225601E-3</v>
      </c>
      <c r="AP200" s="1">
        <v>1.0267715778903399</v>
      </c>
      <c r="AQ200" s="1">
        <v>2.45839281972943E-3</v>
      </c>
      <c r="AR200" s="1">
        <v>2.2295272998403498E-3</v>
      </c>
      <c r="AS200" s="1">
        <v>5.8620732420381801E-3</v>
      </c>
      <c r="AT200" s="1">
        <v>0</v>
      </c>
    </row>
    <row r="201" spans="1:46" x14ac:dyDescent="0.3">
      <c r="A201" s="14" t="s">
        <v>95</v>
      </c>
      <c r="B201" s="1">
        <v>9.0995070391328495E-4</v>
      </c>
      <c r="C201" s="1">
        <v>2.76958546868236E-3</v>
      </c>
      <c r="D201" s="1">
        <v>1.13696471949403E-3</v>
      </c>
      <c r="E201" s="1">
        <v>9.4116550442894099E-4</v>
      </c>
      <c r="F201" s="1">
        <v>1.4881210276903999E-3</v>
      </c>
      <c r="G201" s="1">
        <v>1.5347818488115499E-3</v>
      </c>
      <c r="H201" s="1">
        <v>1.76420824463874E-3</v>
      </c>
      <c r="I201" s="1">
        <v>1.8082203750724099E-3</v>
      </c>
      <c r="J201" s="1">
        <v>1.5627390221444101E-3</v>
      </c>
      <c r="K201" s="1">
        <v>1.05883705422692E-3</v>
      </c>
      <c r="L201" s="1">
        <v>1.64576196773983E-3</v>
      </c>
      <c r="M201" s="1">
        <v>8.8223438064338293E-3</v>
      </c>
      <c r="N201" s="1">
        <v>1.7321177374626301E-3</v>
      </c>
      <c r="O201" s="1">
        <v>1.5571205640542199E-3</v>
      </c>
      <c r="P201" s="1">
        <v>1.9551604055374301E-3</v>
      </c>
      <c r="Q201" s="1">
        <v>1.5058407367521699E-3</v>
      </c>
      <c r="R201" s="1">
        <v>1.9401881185617199E-3</v>
      </c>
      <c r="S201" s="1">
        <v>1.4703515152437901E-3</v>
      </c>
      <c r="T201" s="1">
        <v>1.6181170114183299E-3</v>
      </c>
      <c r="U201" s="1">
        <v>1.56109775003655E-3</v>
      </c>
      <c r="V201" s="1">
        <v>1.54352206392282E-3</v>
      </c>
      <c r="W201" s="1">
        <v>2.0926561994584901E-3</v>
      </c>
      <c r="X201" s="1">
        <v>1.4899948748616099E-3</v>
      </c>
      <c r="Y201" s="1">
        <v>4.37954620056952E-3</v>
      </c>
      <c r="Z201" s="1">
        <v>1.2991957162871901E-3</v>
      </c>
      <c r="AA201" s="1">
        <v>1.8938606198098101E-3</v>
      </c>
      <c r="AB201" s="1">
        <v>3.7490205822952598E-3</v>
      </c>
      <c r="AC201" s="1">
        <v>2.3538738228722901E-3</v>
      </c>
      <c r="AD201" s="1">
        <v>1.7288683270067599E-3</v>
      </c>
      <c r="AE201" s="1">
        <v>1.2100853613593501E-3</v>
      </c>
      <c r="AF201" s="1">
        <v>1.8521311987744801E-3</v>
      </c>
      <c r="AG201" s="1">
        <v>3.7226934762161299E-3</v>
      </c>
      <c r="AH201" s="1">
        <v>9.651895690041E-4</v>
      </c>
      <c r="AI201" s="1">
        <v>6.6198297319878001E-4</v>
      </c>
      <c r="AJ201" s="1">
        <v>1.0754614174119401E-3</v>
      </c>
      <c r="AK201" s="1">
        <v>1.10674120795957E-3</v>
      </c>
      <c r="AL201" s="1">
        <v>7.57625904405969E-4</v>
      </c>
      <c r="AM201" s="1">
        <v>1.0224949776261999E-3</v>
      </c>
      <c r="AN201" s="1">
        <v>2.0793106873290002E-3</v>
      </c>
      <c r="AO201" s="1">
        <v>4.9246976366887905E-4</v>
      </c>
      <c r="AP201" s="1">
        <v>6.1670717329418399E-4</v>
      </c>
      <c r="AQ201" s="1">
        <v>1.0470585864809601</v>
      </c>
      <c r="AR201" s="1">
        <v>1.8174694863247001E-3</v>
      </c>
      <c r="AS201" s="1">
        <v>3.9927837436614204E-3</v>
      </c>
      <c r="AT201" s="1">
        <v>0</v>
      </c>
    </row>
    <row r="202" spans="1:46" x14ac:dyDescent="0.3">
      <c r="A202" s="14" t="s">
        <v>96</v>
      </c>
      <c r="B202" s="1">
        <v>1.54898653499738E-3</v>
      </c>
      <c r="C202" s="1">
        <v>1.3579818357901501E-3</v>
      </c>
      <c r="D202" s="1">
        <v>1.7114435201953601E-3</v>
      </c>
      <c r="E202" s="1">
        <v>2.3786498499367499E-3</v>
      </c>
      <c r="F202" s="1">
        <v>1.36852427124975E-3</v>
      </c>
      <c r="G202" s="1">
        <v>2.73496769775075E-3</v>
      </c>
      <c r="H202" s="1">
        <v>2.2708134116233101E-3</v>
      </c>
      <c r="I202" s="1">
        <v>2.2115209589676798E-3</v>
      </c>
      <c r="J202" s="1">
        <v>2.7254789385749898E-3</v>
      </c>
      <c r="K202" s="1">
        <v>1.49663552281316E-3</v>
      </c>
      <c r="L202" s="1">
        <v>2.0814750936374599E-3</v>
      </c>
      <c r="M202" s="1">
        <v>2.5581395664188E-3</v>
      </c>
      <c r="N202" s="1">
        <v>2.6323262240292799E-3</v>
      </c>
      <c r="O202" s="1">
        <v>2.0716294451631001E-3</v>
      </c>
      <c r="P202" s="1">
        <v>2.0071793358353899E-3</v>
      </c>
      <c r="Q202" s="1">
        <v>2.27045596281577E-3</v>
      </c>
      <c r="R202" s="1">
        <v>3.21169110262693E-3</v>
      </c>
      <c r="S202" s="1">
        <v>2.1443973325304001E-3</v>
      </c>
      <c r="T202" s="1">
        <v>2.2372223551595802E-3</v>
      </c>
      <c r="U202" s="1">
        <v>2.25840970364661E-3</v>
      </c>
      <c r="V202" s="1">
        <v>2.0065820641443702E-3</v>
      </c>
      <c r="W202" s="1">
        <v>2.2419589951449301E-3</v>
      </c>
      <c r="X202" s="1">
        <v>1.84987737033452E-3</v>
      </c>
      <c r="Y202" s="1">
        <v>2.0003171435044099E-3</v>
      </c>
      <c r="Z202" s="1">
        <v>2.3474741197787E-3</v>
      </c>
      <c r="AA202" s="1">
        <v>3.0916171856853001E-3</v>
      </c>
      <c r="AB202" s="1">
        <v>2.6611286244446202E-3</v>
      </c>
      <c r="AC202" s="1">
        <v>2.6962441972679398E-3</v>
      </c>
      <c r="AD202" s="1">
        <v>3.47125000193016E-3</v>
      </c>
      <c r="AE202" s="1">
        <v>5.0079723258353304E-3</v>
      </c>
      <c r="AF202" s="1">
        <v>1.43742139883229E-3</v>
      </c>
      <c r="AG202" s="1">
        <v>3.2356386615375902E-3</v>
      </c>
      <c r="AH202" s="1">
        <v>1.3387865168092599E-2</v>
      </c>
      <c r="AI202" s="1">
        <v>2.3266413105320701E-3</v>
      </c>
      <c r="AJ202" s="1">
        <v>2.5791579825847101E-3</v>
      </c>
      <c r="AK202" s="1">
        <v>1.9887483691139198E-3</v>
      </c>
      <c r="AL202" s="1">
        <v>1.77779783827867E-3</v>
      </c>
      <c r="AM202" s="1">
        <v>2.7699776751687701E-3</v>
      </c>
      <c r="AN202" s="1">
        <v>6.87779934273297E-3</v>
      </c>
      <c r="AO202" s="1">
        <v>9.6103819721934404E-4</v>
      </c>
      <c r="AP202" s="1">
        <v>7.4150733044913602E-4</v>
      </c>
      <c r="AQ202" s="1">
        <v>1.5985678355414201E-3</v>
      </c>
      <c r="AR202" s="1">
        <v>1.0572385291000901</v>
      </c>
      <c r="AS202" s="1">
        <v>4.7312978072562104E-3</v>
      </c>
      <c r="AT202" s="1">
        <v>0</v>
      </c>
    </row>
    <row r="203" spans="1:46" x14ac:dyDescent="0.3">
      <c r="A203" s="14" t="s">
        <v>97</v>
      </c>
      <c r="B203" s="1">
        <v>5.6611240710801704E-3</v>
      </c>
      <c r="C203" s="1">
        <v>7.5558282455797099E-3</v>
      </c>
      <c r="D203" s="1">
        <v>4.9831145722974701E-3</v>
      </c>
      <c r="E203" s="1">
        <v>4.7126193521169202E-3</v>
      </c>
      <c r="F203" s="1">
        <v>4.6866440732029196E-3</v>
      </c>
      <c r="G203" s="1">
        <v>7.4066810503607902E-3</v>
      </c>
      <c r="H203" s="1">
        <v>5.4962016775440999E-3</v>
      </c>
      <c r="I203" s="1">
        <v>5.72727027221967E-3</v>
      </c>
      <c r="J203" s="1">
        <v>6.4879150534356998E-3</v>
      </c>
      <c r="K203" s="1">
        <v>4.3352876957245701E-3</v>
      </c>
      <c r="L203" s="1">
        <v>5.7946026871087504E-3</v>
      </c>
      <c r="M203" s="1">
        <v>5.4098758690494398E-3</v>
      </c>
      <c r="N203" s="1">
        <v>5.9868480956631696E-3</v>
      </c>
      <c r="O203" s="1">
        <v>5.4440887797594997E-3</v>
      </c>
      <c r="P203" s="1">
        <v>5.2850076404453604E-3</v>
      </c>
      <c r="Q203" s="1">
        <v>4.9818087083889299E-3</v>
      </c>
      <c r="R203" s="1">
        <v>8.1257296097970895E-3</v>
      </c>
      <c r="S203" s="1">
        <v>5.4144079396317504E-3</v>
      </c>
      <c r="T203" s="1">
        <v>5.4325175446100996E-3</v>
      </c>
      <c r="U203" s="1">
        <v>5.5326348286982201E-3</v>
      </c>
      <c r="V203" s="1">
        <v>5.0583711934274501E-3</v>
      </c>
      <c r="W203" s="1">
        <v>5.9948286221769001E-3</v>
      </c>
      <c r="X203" s="1">
        <v>7.1149589626632896E-3</v>
      </c>
      <c r="Y203" s="1">
        <v>8.5972254884997996E-3</v>
      </c>
      <c r="Z203" s="1">
        <v>6.0645696633753396E-3</v>
      </c>
      <c r="AA203" s="1">
        <v>8.8445753662748997E-3</v>
      </c>
      <c r="AB203" s="1">
        <v>5.90279752756515E-3</v>
      </c>
      <c r="AC203" s="1">
        <v>8.7703152125494892E-3</v>
      </c>
      <c r="AD203" s="1">
        <v>9.7755667563830997E-3</v>
      </c>
      <c r="AE203" s="1">
        <v>9.7465096481187206E-3</v>
      </c>
      <c r="AF203" s="1">
        <v>5.13148051868302E-3</v>
      </c>
      <c r="AG203" s="1">
        <v>8.8514920943779992E-3</v>
      </c>
      <c r="AH203" s="1">
        <v>7.8343644601960808E-3</v>
      </c>
      <c r="AI203" s="1">
        <v>8.1800775800752509E-3</v>
      </c>
      <c r="AJ203" s="1">
        <v>1.2890033421787E-2</v>
      </c>
      <c r="AK203" s="1">
        <v>8.4027627049959603E-3</v>
      </c>
      <c r="AL203" s="1">
        <v>8.3760579582182401E-3</v>
      </c>
      <c r="AM203" s="1">
        <v>9.1338397239800299E-3</v>
      </c>
      <c r="AN203" s="1">
        <v>9.2350955957303596E-3</v>
      </c>
      <c r="AO203" s="1">
        <v>4.6426050031652503E-3</v>
      </c>
      <c r="AP203" s="1">
        <v>4.0090675578886396E-3</v>
      </c>
      <c r="AQ203" s="1">
        <v>5.3569373730390996E-3</v>
      </c>
      <c r="AR203" s="1">
        <v>1.04184680901307E-2</v>
      </c>
      <c r="AS203" s="1">
        <v>1.00683259368358</v>
      </c>
      <c r="AT203" s="1">
        <v>0</v>
      </c>
    </row>
    <row r="204" spans="1:46" x14ac:dyDescent="0.3">
      <c r="A204" s="14" t="s">
        <v>98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1</v>
      </c>
    </row>
    <row r="205" spans="1:46" x14ac:dyDescent="0.3">
      <c r="A205" s="55" t="s">
        <v>217</v>
      </c>
    </row>
    <row r="206" spans="1:46" x14ac:dyDescent="0.3">
      <c r="A206" s="56"/>
      <c r="B206" s="4">
        <f t="shared" ref="B206:AT206" si="45">SUM(B160:B204)</f>
        <v>2.3878825771249601</v>
      </c>
      <c r="C206" s="4">
        <f t="shared" si="45"/>
        <v>2.3630273850914771</v>
      </c>
      <c r="D206" s="4">
        <f t="shared" si="45"/>
        <v>2.5199643888089209</v>
      </c>
      <c r="E206" s="4">
        <f t="shared" si="45"/>
        <v>2.1754195186523733</v>
      </c>
      <c r="F206" s="4">
        <f t="shared" si="45"/>
        <v>2.2292837168577573</v>
      </c>
      <c r="G206" s="4">
        <f t="shared" si="45"/>
        <v>2.8554221703698572</v>
      </c>
      <c r="H206" s="4">
        <f t="shared" si="45"/>
        <v>2.431623829901973</v>
      </c>
      <c r="I206" s="4">
        <f t="shared" si="45"/>
        <v>2.6943506651474434</v>
      </c>
      <c r="J206" s="4">
        <f t="shared" si="45"/>
        <v>2.660754098417927</v>
      </c>
      <c r="K206" s="4">
        <f t="shared" si="45"/>
        <v>2.4509804242012572</v>
      </c>
      <c r="L206" s="4">
        <f t="shared" si="45"/>
        <v>2.74556201296138</v>
      </c>
      <c r="M206" s="4">
        <f t="shared" si="45"/>
        <v>2.0987754402108632</v>
      </c>
      <c r="N206" s="4">
        <f t="shared" si="45"/>
        <v>2.8061731333666375</v>
      </c>
      <c r="O206" s="4">
        <f t="shared" si="45"/>
        <v>2.4835742664006952</v>
      </c>
      <c r="P206" s="4">
        <f t="shared" si="45"/>
        <v>2.8976902700754819</v>
      </c>
      <c r="Q206" s="4">
        <f t="shared" si="45"/>
        <v>2.6475974446549499</v>
      </c>
      <c r="R206" s="4">
        <f t="shared" si="45"/>
        <v>3.5900563063030617</v>
      </c>
      <c r="S206" s="4">
        <f t="shared" si="45"/>
        <v>2.7353216850127549</v>
      </c>
      <c r="T206" s="4">
        <f t="shared" si="45"/>
        <v>2.713760946390201</v>
      </c>
      <c r="U206" s="4">
        <f t="shared" si="45"/>
        <v>3.082867107324736</v>
      </c>
      <c r="V206" s="4">
        <f t="shared" si="45"/>
        <v>2.553153528817111</v>
      </c>
      <c r="W206" s="4">
        <f t="shared" si="45"/>
        <v>2.5527129836776101</v>
      </c>
      <c r="X206" s="4">
        <f t="shared" si="45"/>
        <v>2.2789672454877059</v>
      </c>
      <c r="Y206" s="4">
        <f t="shared" si="45"/>
        <v>2.0410506647640476</v>
      </c>
      <c r="Z206" s="4">
        <f t="shared" si="45"/>
        <v>2.4179986075417212</v>
      </c>
      <c r="AA206" s="4">
        <f t="shared" si="45"/>
        <v>2.1077722192893731</v>
      </c>
      <c r="AB206" s="4">
        <f t="shared" si="45"/>
        <v>2.1968240577568112</v>
      </c>
      <c r="AC206" s="4">
        <f t="shared" si="45"/>
        <v>2.7181244117436254</v>
      </c>
      <c r="AD206" s="4">
        <f t="shared" si="45"/>
        <v>2.778395637509643</v>
      </c>
      <c r="AE206" s="4">
        <f t="shared" si="45"/>
        <v>1.9534056382625304</v>
      </c>
      <c r="AF206" s="4">
        <f t="shared" si="45"/>
        <v>1.5398735678090649</v>
      </c>
      <c r="AG206" s="4">
        <f t="shared" si="45"/>
        <v>2.3557860053723609</v>
      </c>
      <c r="AH206" s="4">
        <f t="shared" si="45"/>
        <v>2.0422583964720067</v>
      </c>
      <c r="AI206" s="4">
        <f t="shared" si="45"/>
        <v>1.7163386112023797</v>
      </c>
      <c r="AJ206" s="4">
        <f t="shared" si="45"/>
        <v>1.7721175019653526</v>
      </c>
      <c r="AK206" s="4">
        <f t="shared" si="45"/>
        <v>1.8848435758452036</v>
      </c>
      <c r="AL206" s="4">
        <f t="shared" si="45"/>
        <v>1.6843573134042071</v>
      </c>
      <c r="AM206" s="4">
        <f t="shared" si="45"/>
        <v>1.8189150446188251</v>
      </c>
      <c r="AN206" s="4">
        <f t="shared" si="45"/>
        <v>1.8804339469982947</v>
      </c>
      <c r="AO206" s="4">
        <f t="shared" si="45"/>
        <v>1.5080134466212805</v>
      </c>
      <c r="AP206" s="4">
        <f t="shared" si="45"/>
        <v>1.4138781350411909</v>
      </c>
      <c r="AQ206" s="4">
        <f t="shared" si="45"/>
        <v>1.7985337670352293</v>
      </c>
      <c r="AR206" s="4">
        <f t="shared" si="45"/>
        <v>1.9597850285203138</v>
      </c>
      <c r="AS206" s="4">
        <f t="shared" si="45"/>
        <v>1.7811543429808137</v>
      </c>
      <c r="AT206" s="4">
        <f t="shared" si="45"/>
        <v>1</v>
      </c>
    </row>
  </sheetData>
  <mergeCells count="5">
    <mergeCell ref="A205:A206"/>
    <mergeCell ref="B2:AW3"/>
    <mergeCell ref="B53:AT54"/>
    <mergeCell ref="B104:AT105"/>
    <mergeCell ref="B155:AT1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DA76-2CEC-4D23-8E71-B7945720A537}">
  <dimension ref="A1:BI67"/>
  <sheetViews>
    <sheetView topLeftCell="A55" zoomScale="98" zoomScaleNormal="98" workbookViewId="0">
      <pane xSplit="1" topLeftCell="B1" activePane="topRight" state="frozen"/>
      <selection pane="topRight" activeCell="H51" sqref="H51"/>
    </sheetView>
  </sheetViews>
  <sheetFormatPr defaultRowHeight="14.4" x14ac:dyDescent="0.3"/>
  <cols>
    <col min="1" max="1" width="16.44140625" bestFit="1" customWidth="1"/>
    <col min="2" max="2" width="11.44140625" bestFit="1" customWidth="1"/>
    <col min="3" max="4" width="10.109375" bestFit="1" customWidth="1"/>
    <col min="11" max="11" width="31.5546875" bestFit="1" customWidth="1"/>
    <col min="12" max="12" width="9" bestFit="1" customWidth="1"/>
    <col min="13" max="13" width="12" bestFit="1" customWidth="1"/>
    <col min="14" max="14" width="7" bestFit="1" customWidth="1"/>
    <col min="15" max="15" width="8.44140625" bestFit="1" customWidth="1"/>
    <col min="16" max="17" width="7" bestFit="1" customWidth="1"/>
    <col min="18" max="18" width="14.5546875" bestFit="1" customWidth="1"/>
    <col min="19" max="19" width="7" bestFit="1" customWidth="1"/>
    <col min="20" max="20" width="8.6640625" bestFit="1" customWidth="1"/>
    <col min="21" max="21" width="12.6640625" bestFit="1" customWidth="1"/>
    <col min="53" max="53" width="14.5546875" bestFit="1" customWidth="1"/>
    <col min="54" max="54" width="8" bestFit="1" customWidth="1"/>
    <col min="56" max="56" width="21" bestFit="1" customWidth="1"/>
    <col min="57" max="57" width="13.44140625" bestFit="1" customWidth="1"/>
    <col min="61" max="61" width="18.5546875" bestFit="1" customWidth="1"/>
  </cols>
  <sheetData>
    <row r="1" spans="1:61" x14ac:dyDescent="0.3">
      <c r="A1" s="19"/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21</v>
      </c>
      <c r="X1" s="19" t="s">
        <v>22</v>
      </c>
      <c r="Y1" s="19" t="s">
        <v>23</v>
      </c>
      <c r="Z1" s="19" t="s">
        <v>24</v>
      </c>
      <c r="AA1" s="19" t="s">
        <v>25</v>
      </c>
      <c r="AB1" s="19" t="s">
        <v>26</v>
      </c>
      <c r="AC1" s="19" t="s">
        <v>27</v>
      </c>
      <c r="AD1" s="19" t="s">
        <v>28</v>
      </c>
      <c r="AE1" s="19" t="s">
        <v>29</v>
      </c>
      <c r="AF1" s="19" t="s">
        <v>30</v>
      </c>
      <c r="AG1" s="19" t="s">
        <v>31</v>
      </c>
      <c r="AH1" s="19" t="s">
        <v>32</v>
      </c>
      <c r="AI1" s="19" t="s">
        <v>33</v>
      </c>
      <c r="AJ1" s="19" t="s">
        <v>34</v>
      </c>
      <c r="AK1" s="19" t="s">
        <v>35</v>
      </c>
      <c r="AL1" s="19" t="s">
        <v>36</v>
      </c>
      <c r="AM1" s="19" t="s">
        <v>37</v>
      </c>
      <c r="AN1" s="19" t="s">
        <v>38</v>
      </c>
      <c r="AO1" s="19" t="s">
        <v>39</v>
      </c>
      <c r="AP1" s="19" t="s">
        <v>40</v>
      </c>
      <c r="AQ1" s="19" t="s">
        <v>41</v>
      </c>
      <c r="AR1" s="19" t="s">
        <v>42</v>
      </c>
      <c r="AS1" s="19" t="s">
        <v>43</v>
      </c>
      <c r="AT1" s="19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s="19" t="s">
        <v>104</v>
      </c>
      <c r="BE1" s="19" t="s">
        <v>105</v>
      </c>
    </row>
    <row r="2" spans="1:61" x14ac:dyDescent="0.3">
      <c r="A2" s="19" t="s">
        <v>54</v>
      </c>
      <c r="B2" s="2">
        <v>2256</v>
      </c>
      <c r="C2" s="2">
        <v>3.8</v>
      </c>
      <c r="D2" s="2">
        <v>0.1</v>
      </c>
      <c r="E2" s="2">
        <v>0.5</v>
      </c>
      <c r="F2" s="2">
        <v>0.3</v>
      </c>
      <c r="G2" s="3">
        <v>3028.9</v>
      </c>
      <c r="H2" s="3">
        <v>10.7</v>
      </c>
      <c r="I2" s="3">
        <v>74.7</v>
      </c>
      <c r="J2" s="3">
        <v>9.6999999999999993</v>
      </c>
      <c r="K2" s="3">
        <v>12.2</v>
      </c>
      <c r="L2" s="3">
        <v>13.3</v>
      </c>
      <c r="M2" s="3">
        <v>21.3</v>
      </c>
      <c r="N2" s="3">
        <v>33.700000000000003</v>
      </c>
      <c r="O2" s="3">
        <v>7.1</v>
      </c>
      <c r="P2" s="3">
        <v>4.5</v>
      </c>
      <c r="Q2" s="3">
        <v>7.1</v>
      </c>
      <c r="R2" s="3">
        <v>15.8</v>
      </c>
      <c r="S2" s="3">
        <v>5.5</v>
      </c>
      <c r="T2" s="3">
        <v>12.5</v>
      </c>
      <c r="U2" s="3">
        <v>21.8</v>
      </c>
      <c r="V2" s="3">
        <v>0.7</v>
      </c>
      <c r="W2" s="3">
        <v>15.1</v>
      </c>
      <c r="X2" s="3">
        <v>85.2</v>
      </c>
      <c r="Y2" s="3">
        <v>8.8000000000000007</v>
      </c>
      <c r="Z2" s="3">
        <v>37</v>
      </c>
      <c r="AA2" s="4">
        <v>324.89999999999998</v>
      </c>
      <c r="AB2" s="4">
        <v>13.5</v>
      </c>
      <c r="AC2" s="4">
        <v>0.5</v>
      </c>
      <c r="AD2" s="4">
        <v>3.4</v>
      </c>
      <c r="AE2" s="4">
        <v>13.8</v>
      </c>
      <c r="AF2" s="4">
        <v>0.5</v>
      </c>
      <c r="AG2" s="4">
        <v>95.3</v>
      </c>
      <c r="AH2" s="4">
        <v>8.1</v>
      </c>
      <c r="AI2" s="4">
        <v>5.5</v>
      </c>
      <c r="AJ2" s="4">
        <v>2.6</v>
      </c>
      <c r="AK2" s="4">
        <v>6.1</v>
      </c>
      <c r="AL2" s="4">
        <v>16.100000000000001</v>
      </c>
      <c r="AM2" s="4">
        <v>20.399999999999999</v>
      </c>
      <c r="AN2" s="4">
        <v>19.899999999999999</v>
      </c>
      <c r="AO2" s="4">
        <v>11.7</v>
      </c>
      <c r="AP2" s="4">
        <v>4.7</v>
      </c>
      <c r="AQ2" s="4">
        <v>25</v>
      </c>
      <c r="AR2" s="4">
        <v>4.5999999999999996</v>
      </c>
      <c r="AS2" s="4">
        <v>13.4</v>
      </c>
      <c r="AT2" s="4">
        <v>0</v>
      </c>
      <c r="AU2">
        <v>1934.6</v>
      </c>
      <c r="AV2">
        <v>0.3</v>
      </c>
      <c r="AW2">
        <v>20.5</v>
      </c>
      <c r="AX2">
        <v>377.1</v>
      </c>
      <c r="AY2">
        <v>-1.5</v>
      </c>
      <c r="AZ2">
        <v>15.4</v>
      </c>
      <c r="BA2">
        <v>66.3</v>
      </c>
      <c r="BB2">
        <v>2606.1</v>
      </c>
      <c r="BC2">
        <v>-744.9</v>
      </c>
      <c r="BD2" s="10">
        <f>SUM(AU2:BC2)</f>
        <v>4273.9000000000005</v>
      </c>
      <c r="BE2" s="10">
        <f>SUM(B2:BC2)</f>
        <v>10550.2</v>
      </c>
      <c r="BG2" s="23"/>
      <c r="BI2" s="10" t="s">
        <v>201</v>
      </c>
    </row>
    <row r="3" spans="1:61" x14ac:dyDescent="0.3">
      <c r="A3" s="19" t="s">
        <v>55</v>
      </c>
      <c r="B3" s="2">
        <v>1.4</v>
      </c>
      <c r="C3" s="2">
        <v>5.3</v>
      </c>
      <c r="D3" s="2">
        <v>0</v>
      </c>
      <c r="E3" s="2">
        <v>0</v>
      </c>
      <c r="F3" s="2">
        <v>0</v>
      </c>
      <c r="G3" s="3">
        <v>2.2999999999999998</v>
      </c>
      <c r="H3" s="3">
        <v>0</v>
      </c>
      <c r="I3" s="3">
        <v>0</v>
      </c>
      <c r="J3" s="3">
        <v>0</v>
      </c>
      <c r="K3" s="3">
        <v>0.1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0.1</v>
      </c>
      <c r="S3" s="3">
        <v>0</v>
      </c>
      <c r="T3" s="3">
        <v>0</v>
      </c>
      <c r="U3" s="3">
        <v>0.1</v>
      </c>
      <c r="V3" s="3">
        <v>0</v>
      </c>
      <c r="W3" s="3">
        <v>0</v>
      </c>
      <c r="X3" s="3">
        <v>0</v>
      </c>
      <c r="Y3" s="3">
        <v>0</v>
      </c>
      <c r="Z3" s="3">
        <v>0.1</v>
      </c>
      <c r="AA3" s="4">
        <v>0.3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10.199999999999999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0.1</v>
      </c>
      <c r="AO3" s="4">
        <v>0</v>
      </c>
      <c r="AP3" s="4">
        <v>0</v>
      </c>
      <c r="AQ3" s="4">
        <v>0.1</v>
      </c>
      <c r="AR3" s="4">
        <v>0.3</v>
      </c>
      <c r="AS3" s="4">
        <v>0</v>
      </c>
      <c r="AT3" s="4">
        <v>0</v>
      </c>
      <c r="AU3">
        <v>23</v>
      </c>
      <c r="AV3">
        <v>0.4</v>
      </c>
      <c r="AW3">
        <v>0.7</v>
      </c>
      <c r="AX3">
        <v>1.1000000000000001</v>
      </c>
      <c r="AY3">
        <v>0</v>
      </c>
      <c r="AZ3">
        <v>0.8</v>
      </c>
      <c r="BA3">
        <v>4</v>
      </c>
      <c r="BB3">
        <v>2.9</v>
      </c>
      <c r="BC3">
        <v>-6</v>
      </c>
      <c r="BD3" s="10">
        <f t="shared" ref="BD3:BD46" si="0">SUM(AU3:BC3)</f>
        <v>26.9</v>
      </c>
      <c r="BE3" s="10">
        <f t="shared" ref="BE3:BE46" si="1">SUM(B3:BC3)</f>
        <v>47.300000000000004</v>
      </c>
    </row>
    <row r="4" spans="1:61" x14ac:dyDescent="0.3">
      <c r="A4" s="19" t="s">
        <v>56</v>
      </c>
      <c r="B4" s="2">
        <v>34.5</v>
      </c>
      <c r="C4" s="2">
        <v>0.1</v>
      </c>
      <c r="D4" s="2">
        <v>2.2000000000000002</v>
      </c>
      <c r="E4" s="2">
        <v>7.5</v>
      </c>
      <c r="F4" s="2">
        <v>0.8</v>
      </c>
      <c r="G4" s="3">
        <v>44</v>
      </c>
      <c r="H4" s="3">
        <v>1.8</v>
      </c>
      <c r="I4" s="3">
        <v>1.8</v>
      </c>
      <c r="J4" s="3">
        <v>10</v>
      </c>
      <c r="K4" s="3">
        <v>1695.7</v>
      </c>
      <c r="L4" s="3">
        <v>108.8</v>
      </c>
      <c r="M4" s="3">
        <v>11.7</v>
      </c>
      <c r="N4" s="3">
        <v>3</v>
      </c>
      <c r="O4" s="3">
        <v>49.8</v>
      </c>
      <c r="P4" s="3">
        <v>101.8</v>
      </c>
      <c r="Q4" s="3">
        <v>3.6</v>
      </c>
      <c r="R4" s="3">
        <v>3.1</v>
      </c>
      <c r="S4" s="3">
        <v>2</v>
      </c>
      <c r="T4" s="3">
        <v>4.8</v>
      </c>
      <c r="U4" s="3">
        <v>7.6</v>
      </c>
      <c r="V4" s="3">
        <v>2.1</v>
      </c>
      <c r="W4" s="3">
        <v>1</v>
      </c>
      <c r="X4" s="3">
        <v>820.2</v>
      </c>
      <c r="Y4" s="3">
        <v>12.2</v>
      </c>
      <c r="Z4" s="3">
        <v>46.9</v>
      </c>
      <c r="AA4" s="4">
        <v>62.4</v>
      </c>
      <c r="AB4" s="4">
        <v>30.9</v>
      </c>
      <c r="AC4" s="4">
        <v>0.2</v>
      </c>
      <c r="AD4" s="4">
        <v>0.8</v>
      </c>
      <c r="AE4" s="4">
        <v>50.8</v>
      </c>
      <c r="AF4" s="4">
        <v>2.2000000000000002</v>
      </c>
      <c r="AG4" s="4">
        <v>29.5</v>
      </c>
      <c r="AH4" s="4">
        <v>2.1</v>
      </c>
      <c r="AI4" s="4">
        <v>4.2</v>
      </c>
      <c r="AJ4" s="4">
        <v>1.2</v>
      </c>
      <c r="AK4" s="4">
        <v>4.7</v>
      </c>
      <c r="AL4" s="4">
        <v>27.5</v>
      </c>
      <c r="AM4" s="4">
        <v>29.3</v>
      </c>
      <c r="AN4" s="4">
        <v>14.1</v>
      </c>
      <c r="AO4" s="4">
        <v>45</v>
      </c>
      <c r="AP4" s="4">
        <v>48.9</v>
      </c>
      <c r="AQ4" s="4">
        <v>63.2</v>
      </c>
      <c r="AR4" s="4">
        <v>27.5</v>
      </c>
      <c r="AS4" s="4">
        <v>10</v>
      </c>
      <c r="AT4" s="4">
        <v>0</v>
      </c>
      <c r="AU4">
        <v>582.79999999999995</v>
      </c>
      <c r="AV4">
        <v>0</v>
      </c>
      <c r="AW4">
        <v>1.1000000000000001</v>
      </c>
      <c r="AX4">
        <v>29.2</v>
      </c>
      <c r="AY4">
        <v>-0.5</v>
      </c>
      <c r="AZ4">
        <v>0.5</v>
      </c>
      <c r="BA4">
        <v>0.4</v>
      </c>
      <c r="BB4">
        <v>17.100000000000001</v>
      </c>
      <c r="BC4">
        <v>-3955.7</v>
      </c>
      <c r="BD4" s="10">
        <f t="shared" si="0"/>
        <v>-3325.1</v>
      </c>
      <c r="BE4" s="10">
        <f t="shared" si="1"/>
        <v>106.39999999999918</v>
      </c>
      <c r="BG4" s="24"/>
      <c r="BI4" s="10" t="s">
        <v>202</v>
      </c>
    </row>
    <row r="5" spans="1:61" x14ac:dyDescent="0.3">
      <c r="A5" s="19" t="s">
        <v>57</v>
      </c>
      <c r="B5" s="2">
        <v>14.3</v>
      </c>
      <c r="C5" s="2">
        <v>0</v>
      </c>
      <c r="D5" s="2">
        <v>4.4000000000000004</v>
      </c>
      <c r="E5" s="2">
        <v>11.7</v>
      </c>
      <c r="F5" s="2">
        <v>8.6</v>
      </c>
      <c r="G5" s="3">
        <v>51.3</v>
      </c>
      <c r="H5" s="3">
        <v>0.8</v>
      </c>
      <c r="I5" s="3">
        <v>1.2</v>
      </c>
      <c r="J5" s="3">
        <v>3.8</v>
      </c>
      <c r="K5" s="3">
        <v>0.6</v>
      </c>
      <c r="L5" s="3">
        <v>10.9</v>
      </c>
      <c r="M5" s="3">
        <v>1.9</v>
      </c>
      <c r="N5" s="3">
        <v>5.5</v>
      </c>
      <c r="O5" s="3">
        <v>93.3</v>
      </c>
      <c r="P5" s="3">
        <v>20.399999999999999</v>
      </c>
      <c r="Q5" s="3">
        <v>18.7</v>
      </c>
      <c r="R5" s="3">
        <v>4.2</v>
      </c>
      <c r="S5" s="3">
        <v>5.2</v>
      </c>
      <c r="T5" s="3">
        <v>7.5</v>
      </c>
      <c r="U5" s="3">
        <v>10</v>
      </c>
      <c r="V5" s="3">
        <v>0.4</v>
      </c>
      <c r="W5" s="3">
        <v>2.6</v>
      </c>
      <c r="X5" s="3">
        <v>1.6</v>
      </c>
      <c r="Y5" s="3">
        <v>4.8</v>
      </c>
      <c r="Z5" s="3">
        <v>123.7</v>
      </c>
      <c r="AA5" s="4">
        <v>26.9</v>
      </c>
      <c r="AB5" s="4">
        <v>0.8</v>
      </c>
      <c r="AC5" s="4">
        <v>0.1</v>
      </c>
      <c r="AD5" s="4">
        <v>0</v>
      </c>
      <c r="AE5" s="4">
        <v>1.7</v>
      </c>
      <c r="AF5" s="4">
        <v>0</v>
      </c>
      <c r="AG5" s="4">
        <v>0.3</v>
      </c>
      <c r="AH5" s="4">
        <v>0.4</v>
      </c>
      <c r="AI5" s="4">
        <v>0.2</v>
      </c>
      <c r="AJ5" s="4">
        <v>1.2</v>
      </c>
      <c r="AK5" s="4">
        <v>0.2</v>
      </c>
      <c r="AL5" s="4">
        <v>22.7</v>
      </c>
      <c r="AM5" s="4">
        <v>8.3000000000000007</v>
      </c>
      <c r="AN5" s="4">
        <v>2.6</v>
      </c>
      <c r="AO5" s="4">
        <v>1.5</v>
      </c>
      <c r="AP5" s="4">
        <v>1.7</v>
      </c>
      <c r="AQ5" s="4">
        <v>5.7</v>
      </c>
      <c r="AR5" s="4">
        <v>2</v>
      </c>
      <c r="AS5" s="4">
        <v>4.8</v>
      </c>
      <c r="AT5" s="4">
        <v>0</v>
      </c>
      <c r="AU5">
        <v>58.2</v>
      </c>
      <c r="AV5">
        <v>0</v>
      </c>
      <c r="AW5">
        <v>1.9</v>
      </c>
      <c r="AX5">
        <v>28.8</v>
      </c>
      <c r="AY5">
        <v>0.7</v>
      </c>
      <c r="AZ5">
        <v>0.2</v>
      </c>
      <c r="BA5">
        <v>0.7</v>
      </c>
      <c r="BB5">
        <v>15.8</v>
      </c>
      <c r="BC5">
        <v>-270.7</v>
      </c>
      <c r="BD5" s="10">
        <f t="shared" si="0"/>
        <v>-164.39999999999998</v>
      </c>
      <c r="BE5" s="10">
        <f t="shared" si="1"/>
        <v>324.10000000000008</v>
      </c>
    </row>
    <row r="6" spans="1:61" x14ac:dyDescent="0.3">
      <c r="A6" s="19" t="s">
        <v>58</v>
      </c>
      <c r="B6" s="2">
        <v>0.5</v>
      </c>
      <c r="C6" s="2">
        <v>0</v>
      </c>
      <c r="D6" s="2">
        <v>13.7</v>
      </c>
      <c r="E6" s="2">
        <v>0.4</v>
      </c>
      <c r="F6" s="2">
        <v>12.3</v>
      </c>
      <c r="G6" s="3">
        <v>0.6</v>
      </c>
      <c r="H6" s="3">
        <v>0</v>
      </c>
      <c r="I6" s="3">
        <v>0.3</v>
      </c>
      <c r="J6" s="3">
        <v>0.1</v>
      </c>
      <c r="K6" s="3">
        <v>73.599999999999994</v>
      </c>
      <c r="L6" s="3">
        <v>1.1000000000000001</v>
      </c>
      <c r="M6" s="3">
        <v>0.2</v>
      </c>
      <c r="N6" s="3">
        <v>1.2</v>
      </c>
      <c r="O6" s="3">
        <v>0.6</v>
      </c>
      <c r="P6" s="3">
        <v>3.4</v>
      </c>
      <c r="Q6" s="3">
        <v>0.1</v>
      </c>
      <c r="R6" s="3">
        <v>0.5</v>
      </c>
      <c r="S6" s="3">
        <v>0.2</v>
      </c>
      <c r="T6" s="3">
        <v>0.7</v>
      </c>
      <c r="U6" s="3">
        <v>2.1</v>
      </c>
      <c r="V6" s="3">
        <v>0.1</v>
      </c>
      <c r="W6" s="3">
        <v>1.1000000000000001</v>
      </c>
      <c r="X6" s="3">
        <v>9.1</v>
      </c>
      <c r="Y6" s="3">
        <v>0.4</v>
      </c>
      <c r="Z6" s="3">
        <v>12.3</v>
      </c>
      <c r="AA6" s="4">
        <v>1.5</v>
      </c>
      <c r="AB6" s="4">
        <v>0.4</v>
      </c>
      <c r="AC6" s="4">
        <v>0</v>
      </c>
      <c r="AD6" s="4">
        <v>0</v>
      </c>
      <c r="AE6" s="4">
        <v>0.6</v>
      </c>
      <c r="AF6" s="4">
        <v>0</v>
      </c>
      <c r="AG6" s="4">
        <v>0.3</v>
      </c>
      <c r="AH6" s="4">
        <v>0.1</v>
      </c>
      <c r="AI6" s="4">
        <v>0.1</v>
      </c>
      <c r="AJ6" s="4">
        <v>0.1</v>
      </c>
      <c r="AK6" s="4">
        <v>0.2</v>
      </c>
      <c r="AL6" s="4">
        <v>0.6</v>
      </c>
      <c r="AM6" s="4">
        <v>1.3</v>
      </c>
      <c r="AN6" s="4">
        <v>0.5</v>
      </c>
      <c r="AO6" s="4">
        <v>0.5</v>
      </c>
      <c r="AP6" s="4">
        <v>0.4</v>
      </c>
      <c r="AQ6" s="4">
        <v>1.2</v>
      </c>
      <c r="AR6" s="4">
        <v>0.4</v>
      </c>
      <c r="AS6" s="4">
        <v>0.2</v>
      </c>
      <c r="AT6" s="4">
        <v>0</v>
      </c>
      <c r="AU6">
        <v>4.5999999999999996</v>
      </c>
      <c r="AV6">
        <v>0</v>
      </c>
      <c r="AW6">
        <v>0.1</v>
      </c>
      <c r="AX6">
        <v>70</v>
      </c>
      <c r="AY6">
        <v>-1.6</v>
      </c>
      <c r="AZ6">
        <v>0.1</v>
      </c>
      <c r="BA6">
        <v>0.1</v>
      </c>
      <c r="BB6">
        <v>60.2</v>
      </c>
      <c r="BC6">
        <v>-19.899999999999999</v>
      </c>
      <c r="BD6" s="10">
        <f t="shared" si="0"/>
        <v>113.6</v>
      </c>
      <c r="BE6" s="10">
        <f t="shared" si="1"/>
        <v>256.59999999999997</v>
      </c>
    </row>
    <row r="7" spans="1:61" x14ac:dyDescent="0.3">
      <c r="A7" s="19" t="s">
        <v>59</v>
      </c>
      <c r="B7" s="5">
        <v>860.1</v>
      </c>
      <c r="C7" s="5">
        <v>2.4</v>
      </c>
      <c r="D7" s="5">
        <v>0.1</v>
      </c>
      <c r="E7" s="5">
        <v>0.3</v>
      </c>
      <c r="F7" s="5">
        <v>0.3</v>
      </c>
      <c r="G7" s="6">
        <v>1322.4</v>
      </c>
      <c r="H7" s="6">
        <v>3.8</v>
      </c>
      <c r="I7" s="6">
        <v>1.8</v>
      </c>
      <c r="J7" s="6">
        <v>15.6</v>
      </c>
      <c r="K7" s="6">
        <v>30.7</v>
      </c>
      <c r="L7" s="6">
        <v>22</v>
      </c>
      <c r="M7" s="6">
        <v>18.100000000000001</v>
      </c>
      <c r="N7" s="6">
        <v>14.2</v>
      </c>
      <c r="O7" s="6">
        <v>4.4000000000000004</v>
      </c>
      <c r="P7" s="6">
        <v>3.1</v>
      </c>
      <c r="Q7" s="6">
        <v>5.2</v>
      </c>
      <c r="R7" s="6">
        <v>15.3</v>
      </c>
      <c r="S7" s="6">
        <v>5.8</v>
      </c>
      <c r="T7" s="6">
        <v>6.8</v>
      </c>
      <c r="U7" s="6">
        <v>13.4</v>
      </c>
      <c r="V7" s="6">
        <v>0.5</v>
      </c>
      <c r="W7" s="6">
        <v>4.9000000000000004</v>
      </c>
      <c r="X7" s="6">
        <v>21</v>
      </c>
      <c r="Y7" s="6">
        <v>7.3</v>
      </c>
      <c r="Z7" s="6">
        <v>16.100000000000001</v>
      </c>
      <c r="AA7" s="7">
        <v>193.2</v>
      </c>
      <c r="AB7" s="7">
        <v>5.3</v>
      </c>
      <c r="AC7" s="7">
        <v>1.5</v>
      </c>
      <c r="AD7" s="7">
        <v>5.3</v>
      </c>
      <c r="AE7" s="7">
        <v>1.9</v>
      </c>
      <c r="AF7" s="7">
        <v>0.6</v>
      </c>
      <c r="AG7" s="7">
        <v>1151.9000000000001</v>
      </c>
      <c r="AH7" s="7">
        <v>1.8</v>
      </c>
      <c r="AI7" s="7">
        <v>1.6</v>
      </c>
      <c r="AJ7" s="7">
        <v>1.9</v>
      </c>
      <c r="AK7" s="7">
        <v>4.4000000000000004</v>
      </c>
      <c r="AL7" s="7">
        <v>12.4</v>
      </c>
      <c r="AM7" s="7">
        <v>25.4</v>
      </c>
      <c r="AN7" s="7">
        <v>40.799999999999997</v>
      </c>
      <c r="AO7" s="7">
        <v>27.4</v>
      </c>
      <c r="AP7" s="7">
        <v>5.3</v>
      </c>
      <c r="AQ7" s="7">
        <v>128.1</v>
      </c>
      <c r="AR7" s="7">
        <v>10.6</v>
      </c>
      <c r="AS7" s="7">
        <v>13.4</v>
      </c>
      <c r="AT7" s="7">
        <v>0</v>
      </c>
      <c r="AU7">
        <v>7740.7</v>
      </c>
      <c r="AV7">
        <v>6.5</v>
      </c>
      <c r="AW7">
        <v>11.5</v>
      </c>
      <c r="AX7">
        <v>25.4</v>
      </c>
      <c r="AY7">
        <v>0.8</v>
      </c>
      <c r="AZ7">
        <v>59.6</v>
      </c>
      <c r="BA7">
        <v>190.7</v>
      </c>
      <c r="BB7">
        <v>2597.6999999999998</v>
      </c>
      <c r="BC7">
        <v>-2354.1999999999998</v>
      </c>
      <c r="BD7" s="10">
        <f t="shared" si="0"/>
        <v>8278.7000000000007</v>
      </c>
      <c r="BE7" s="10">
        <f t="shared" si="1"/>
        <v>12307.100000000002</v>
      </c>
    </row>
    <row r="8" spans="1:61" x14ac:dyDescent="0.3">
      <c r="A8" s="19" t="s">
        <v>60</v>
      </c>
      <c r="B8" s="5">
        <v>4.9000000000000004</v>
      </c>
      <c r="C8" s="5">
        <v>0</v>
      </c>
      <c r="D8" s="5">
        <v>0.1</v>
      </c>
      <c r="E8" s="5">
        <v>0.2</v>
      </c>
      <c r="F8" s="5">
        <v>0.1</v>
      </c>
      <c r="G8" s="6">
        <v>9.6999999999999993</v>
      </c>
      <c r="H8" s="6">
        <v>320.39999999999998</v>
      </c>
      <c r="I8" s="6">
        <v>1.1000000000000001</v>
      </c>
      <c r="J8" s="6">
        <v>7.8</v>
      </c>
      <c r="K8" s="6">
        <v>1.4</v>
      </c>
      <c r="L8" s="6">
        <v>3.3</v>
      </c>
      <c r="M8" s="6">
        <v>3.3</v>
      </c>
      <c r="N8" s="6">
        <v>36.4</v>
      </c>
      <c r="O8" s="6">
        <v>3.7</v>
      </c>
      <c r="P8" s="6">
        <v>1.9</v>
      </c>
      <c r="Q8" s="6">
        <v>3.2</v>
      </c>
      <c r="R8" s="6">
        <v>21.5</v>
      </c>
      <c r="S8" s="6">
        <v>6.9</v>
      </c>
      <c r="T8" s="6">
        <v>11.4</v>
      </c>
      <c r="U8" s="6">
        <v>76.8</v>
      </c>
      <c r="V8" s="6">
        <v>0.6</v>
      </c>
      <c r="W8" s="6">
        <v>50.3</v>
      </c>
      <c r="X8" s="6">
        <v>2.7</v>
      </c>
      <c r="Y8" s="6">
        <v>3.5</v>
      </c>
      <c r="Z8" s="6">
        <v>15.4</v>
      </c>
      <c r="AA8" s="7">
        <v>30.7</v>
      </c>
      <c r="AB8" s="7">
        <v>3.5</v>
      </c>
      <c r="AC8" s="7">
        <v>0.1</v>
      </c>
      <c r="AD8" s="7">
        <v>0.4</v>
      </c>
      <c r="AE8" s="7">
        <v>1.9</v>
      </c>
      <c r="AF8" s="7">
        <v>1.1000000000000001</v>
      </c>
      <c r="AG8" s="7">
        <v>5.4</v>
      </c>
      <c r="AH8" s="7">
        <v>0.9</v>
      </c>
      <c r="AI8" s="7">
        <v>1.5</v>
      </c>
      <c r="AJ8" s="7">
        <v>1.2</v>
      </c>
      <c r="AK8" s="7">
        <v>1.5</v>
      </c>
      <c r="AL8" s="7">
        <v>3.3</v>
      </c>
      <c r="AM8" s="7">
        <v>4.8</v>
      </c>
      <c r="AN8" s="7">
        <v>6.4</v>
      </c>
      <c r="AO8" s="7">
        <v>8.4</v>
      </c>
      <c r="AP8" s="7">
        <v>1.9</v>
      </c>
      <c r="AQ8" s="7">
        <v>15.2</v>
      </c>
      <c r="AR8" s="7">
        <v>8.8000000000000007</v>
      </c>
      <c r="AS8" s="7">
        <v>22.9</v>
      </c>
      <c r="AT8" s="7">
        <v>0</v>
      </c>
      <c r="AU8">
        <v>843</v>
      </c>
      <c r="AV8">
        <v>0</v>
      </c>
      <c r="AW8">
        <v>4.8</v>
      </c>
      <c r="AX8">
        <v>18.5</v>
      </c>
      <c r="AY8">
        <v>-5.3</v>
      </c>
      <c r="AZ8">
        <v>27.5</v>
      </c>
      <c r="BA8">
        <v>66.2</v>
      </c>
      <c r="BB8">
        <v>744</v>
      </c>
      <c r="BC8">
        <v>-796.3</v>
      </c>
      <c r="BD8" s="10">
        <f t="shared" si="0"/>
        <v>902.40000000000009</v>
      </c>
      <c r="BE8" s="10">
        <f t="shared" si="1"/>
        <v>1608.8999999999999</v>
      </c>
    </row>
    <row r="9" spans="1:61" x14ac:dyDescent="0.3">
      <c r="A9" s="19" t="s">
        <v>61</v>
      </c>
      <c r="B9" s="5">
        <v>21.5</v>
      </c>
      <c r="C9" s="5">
        <v>0</v>
      </c>
      <c r="D9" s="5">
        <v>0</v>
      </c>
      <c r="E9" s="5">
        <v>0.1</v>
      </c>
      <c r="F9" s="5">
        <v>0.1</v>
      </c>
      <c r="G9" s="6">
        <v>19.5</v>
      </c>
      <c r="H9" s="6">
        <v>3.7</v>
      </c>
      <c r="I9" s="6">
        <v>197</v>
      </c>
      <c r="J9" s="6">
        <v>5.8</v>
      </c>
      <c r="K9" s="6">
        <v>1.5</v>
      </c>
      <c r="L9" s="6">
        <v>12</v>
      </c>
      <c r="M9" s="6">
        <v>1.6</v>
      </c>
      <c r="N9" s="6">
        <v>14</v>
      </c>
      <c r="O9" s="6">
        <v>20.7</v>
      </c>
      <c r="P9" s="6">
        <v>5.5</v>
      </c>
      <c r="Q9" s="6">
        <v>19.899999999999999</v>
      </c>
      <c r="R9" s="6">
        <v>14.6</v>
      </c>
      <c r="S9" s="6">
        <v>14.1</v>
      </c>
      <c r="T9" s="6">
        <v>15.4</v>
      </c>
      <c r="U9" s="6">
        <v>23.6</v>
      </c>
      <c r="V9" s="6">
        <v>1.6</v>
      </c>
      <c r="W9" s="6">
        <v>108.6</v>
      </c>
      <c r="X9" s="6">
        <v>14.7</v>
      </c>
      <c r="Y9" s="6">
        <v>2.2999999999999998</v>
      </c>
      <c r="Z9" s="6">
        <v>286.39999999999998</v>
      </c>
      <c r="AA9" s="7">
        <v>58.5</v>
      </c>
      <c r="AB9" s="7">
        <v>8.1</v>
      </c>
      <c r="AC9" s="7">
        <v>0.3</v>
      </c>
      <c r="AD9" s="7">
        <v>0.5</v>
      </c>
      <c r="AE9" s="7">
        <v>1.6</v>
      </c>
      <c r="AF9" s="7">
        <v>0.2</v>
      </c>
      <c r="AG9" s="7">
        <v>2.9</v>
      </c>
      <c r="AH9" s="7">
        <v>0.6</v>
      </c>
      <c r="AI9" s="7">
        <v>2</v>
      </c>
      <c r="AJ9" s="7">
        <v>0.3</v>
      </c>
      <c r="AK9" s="7">
        <v>0.8</v>
      </c>
      <c r="AL9" s="7">
        <v>65.400000000000006</v>
      </c>
      <c r="AM9" s="7">
        <v>14.6</v>
      </c>
      <c r="AN9" s="7">
        <v>8.3000000000000007</v>
      </c>
      <c r="AO9" s="7">
        <v>2.5</v>
      </c>
      <c r="AP9" s="7">
        <v>0.6</v>
      </c>
      <c r="AQ9" s="7">
        <v>2.9</v>
      </c>
      <c r="AR9" s="7">
        <v>1.2</v>
      </c>
      <c r="AS9" s="7">
        <v>4.7</v>
      </c>
      <c r="AT9" s="7">
        <v>0</v>
      </c>
      <c r="AU9">
        <v>40.5</v>
      </c>
      <c r="AV9">
        <v>0</v>
      </c>
      <c r="AW9">
        <v>2.2999999999999998</v>
      </c>
      <c r="AX9">
        <v>31.8</v>
      </c>
      <c r="AY9">
        <v>-6</v>
      </c>
      <c r="AZ9">
        <v>3.1</v>
      </c>
      <c r="BA9">
        <v>6.4</v>
      </c>
      <c r="BB9">
        <v>408.2</v>
      </c>
      <c r="BC9">
        <v>-443.3</v>
      </c>
      <c r="BD9" s="10">
        <f t="shared" si="0"/>
        <v>42.999999999999943</v>
      </c>
      <c r="BE9" s="10">
        <f t="shared" si="1"/>
        <v>1023.2</v>
      </c>
    </row>
    <row r="10" spans="1:61" x14ac:dyDescent="0.3">
      <c r="A10" s="19" t="s">
        <v>62</v>
      </c>
      <c r="B10" s="5">
        <v>23.3</v>
      </c>
      <c r="C10" s="5">
        <v>0.1</v>
      </c>
      <c r="D10" s="5">
        <v>0</v>
      </c>
      <c r="E10" s="5">
        <v>0.4</v>
      </c>
      <c r="F10" s="5">
        <v>0.1</v>
      </c>
      <c r="G10" s="6">
        <v>244.6</v>
      </c>
      <c r="H10" s="6">
        <v>9.6999999999999993</v>
      </c>
      <c r="I10" s="6">
        <v>22.1</v>
      </c>
      <c r="J10" s="6">
        <v>809.3</v>
      </c>
      <c r="K10" s="6">
        <v>2.6</v>
      </c>
      <c r="L10" s="6">
        <v>40.1</v>
      </c>
      <c r="M10" s="6">
        <v>25.1</v>
      </c>
      <c r="N10" s="6">
        <v>47.6</v>
      </c>
      <c r="O10" s="6">
        <v>18</v>
      </c>
      <c r="P10" s="6">
        <v>3.9</v>
      </c>
      <c r="Q10" s="6">
        <v>11.9</v>
      </c>
      <c r="R10" s="6">
        <v>59.5</v>
      </c>
      <c r="S10" s="6">
        <v>40.1</v>
      </c>
      <c r="T10" s="6">
        <v>15.9</v>
      </c>
      <c r="U10" s="6">
        <v>23.8</v>
      </c>
      <c r="V10" s="6">
        <v>1.1000000000000001</v>
      </c>
      <c r="W10" s="6">
        <v>24.4</v>
      </c>
      <c r="X10" s="6">
        <v>13</v>
      </c>
      <c r="Y10" s="6">
        <v>3.6</v>
      </c>
      <c r="Z10" s="6">
        <v>15.4</v>
      </c>
      <c r="AA10" s="7">
        <v>349</v>
      </c>
      <c r="AB10" s="7">
        <v>11.2</v>
      </c>
      <c r="AC10" s="7">
        <v>0.1</v>
      </c>
      <c r="AD10" s="7">
        <v>0.9</v>
      </c>
      <c r="AE10" s="7">
        <v>11</v>
      </c>
      <c r="AF10" s="7">
        <v>6.4</v>
      </c>
      <c r="AG10" s="7">
        <v>11.5</v>
      </c>
      <c r="AH10" s="7">
        <v>266.8</v>
      </c>
      <c r="AI10" s="7">
        <v>6.1</v>
      </c>
      <c r="AJ10" s="7">
        <v>12</v>
      </c>
      <c r="AK10" s="7">
        <v>83.1</v>
      </c>
      <c r="AL10" s="7">
        <v>58</v>
      </c>
      <c r="AM10" s="7">
        <v>56.8</v>
      </c>
      <c r="AN10" s="7">
        <v>38.9</v>
      </c>
      <c r="AO10" s="7">
        <v>74.900000000000006</v>
      </c>
      <c r="AP10" s="7">
        <v>24.5</v>
      </c>
      <c r="AQ10" s="7">
        <v>13.7</v>
      </c>
      <c r="AR10" s="7">
        <v>11.6</v>
      </c>
      <c r="AS10" s="7">
        <v>15</v>
      </c>
      <c r="AT10" s="7">
        <v>0</v>
      </c>
      <c r="AU10">
        <v>336.8</v>
      </c>
      <c r="AV10">
        <v>0</v>
      </c>
      <c r="AW10">
        <v>4.2</v>
      </c>
      <c r="AX10">
        <v>19.399999999999999</v>
      </c>
      <c r="AY10">
        <v>-0.8</v>
      </c>
      <c r="AZ10">
        <v>7.7</v>
      </c>
      <c r="BA10">
        <v>17.2</v>
      </c>
      <c r="BB10">
        <v>752.9</v>
      </c>
      <c r="BC10">
        <v>-1114.5</v>
      </c>
      <c r="BD10" s="10">
        <f t="shared" si="0"/>
        <v>22.899999999999864</v>
      </c>
      <c r="BE10" s="10">
        <f t="shared" si="1"/>
        <v>2529.9999999999995</v>
      </c>
    </row>
    <row r="11" spans="1:61" x14ac:dyDescent="0.3">
      <c r="A11" s="19" t="s">
        <v>63</v>
      </c>
      <c r="B11" s="5">
        <v>251.5</v>
      </c>
      <c r="C11" s="5">
        <v>1.4</v>
      </c>
      <c r="D11" s="5">
        <v>2.4</v>
      </c>
      <c r="E11" s="5">
        <v>10.6</v>
      </c>
      <c r="F11" s="5">
        <v>7.9</v>
      </c>
      <c r="G11" s="6">
        <v>106.8</v>
      </c>
      <c r="H11" s="6">
        <v>8.5</v>
      </c>
      <c r="I11" s="6">
        <v>9.8000000000000007</v>
      </c>
      <c r="J11" s="6">
        <v>16.2</v>
      </c>
      <c r="K11" s="6">
        <v>521.20000000000005</v>
      </c>
      <c r="L11" s="6">
        <v>525.6</v>
      </c>
      <c r="M11" s="6">
        <v>31.4</v>
      </c>
      <c r="N11" s="6">
        <v>56.3</v>
      </c>
      <c r="O11" s="6">
        <v>68</v>
      </c>
      <c r="P11" s="6">
        <v>122.4</v>
      </c>
      <c r="Q11" s="6">
        <v>20</v>
      </c>
      <c r="R11" s="6">
        <v>45.2</v>
      </c>
      <c r="S11" s="6">
        <v>22.8</v>
      </c>
      <c r="T11" s="6">
        <v>29.9</v>
      </c>
      <c r="U11" s="6">
        <v>41.9</v>
      </c>
      <c r="V11" s="6">
        <v>2.4</v>
      </c>
      <c r="W11" s="6">
        <v>16.2</v>
      </c>
      <c r="X11" s="6">
        <v>185</v>
      </c>
      <c r="Y11" s="6">
        <v>50.3</v>
      </c>
      <c r="Z11" s="6">
        <v>262</v>
      </c>
      <c r="AA11" s="7">
        <v>359.6</v>
      </c>
      <c r="AB11" s="7">
        <v>731.4</v>
      </c>
      <c r="AC11" s="7">
        <v>26.7</v>
      </c>
      <c r="AD11" s="7">
        <v>118.7</v>
      </c>
      <c r="AE11" s="7">
        <v>111.4</v>
      </c>
      <c r="AF11" s="7">
        <v>8.1999999999999993</v>
      </c>
      <c r="AG11" s="7">
        <v>25.9</v>
      </c>
      <c r="AH11" s="7">
        <v>5.9</v>
      </c>
      <c r="AI11" s="7">
        <v>9.1</v>
      </c>
      <c r="AJ11" s="7">
        <v>9.4</v>
      </c>
      <c r="AK11" s="7">
        <v>35.6</v>
      </c>
      <c r="AL11" s="7">
        <v>56.9</v>
      </c>
      <c r="AM11" s="7">
        <v>63.8</v>
      </c>
      <c r="AN11" s="7">
        <v>51.4</v>
      </c>
      <c r="AO11" s="7">
        <v>66.5</v>
      </c>
      <c r="AP11" s="7">
        <v>30.6</v>
      </c>
      <c r="AQ11" s="7">
        <v>57.9</v>
      </c>
      <c r="AR11" s="7">
        <v>23.3</v>
      </c>
      <c r="AS11" s="7">
        <v>24.3</v>
      </c>
      <c r="AT11" s="7">
        <v>0</v>
      </c>
      <c r="AU11">
        <v>1957.9</v>
      </c>
      <c r="AV11">
        <v>0</v>
      </c>
      <c r="AW11">
        <v>13.4</v>
      </c>
      <c r="AX11">
        <v>70.7</v>
      </c>
      <c r="AY11">
        <v>2.1</v>
      </c>
      <c r="AZ11">
        <v>20.9</v>
      </c>
      <c r="BA11">
        <v>68.099999999999994</v>
      </c>
      <c r="BB11">
        <v>1118</v>
      </c>
      <c r="BC11">
        <v>-1423.8</v>
      </c>
      <c r="BD11" s="10">
        <f t="shared" si="0"/>
        <v>1827.3</v>
      </c>
      <c r="BE11" s="10">
        <f t="shared" si="1"/>
        <v>6059.6</v>
      </c>
    </row>
    <row r="12" spans="1:61" x14ac:dyDescent="0.3">
      <c r="A12" s="19" t="s">
        <v>64</v>
      </c>
      <c r="B12" s="5">
        <v>524.4</v>
      </c>
      <c r="C12" s="5">
        <v>0.1</v>
      </c>
      <c r="D12" s="5">
        <v>0.5</v>
      </c>
      <c r="E12" s="5">
        <v>4.2</v>
      </c>
      <c r="F12" s="5">
        <v>4.8</v>
      </c>
      <c r="G12" s="6">
        <v>288.39999999999998</v>
      </c>
      <c r="H12" s="6">
        <v>42.5</v>
      </c>
      <c r="I12" s="6">
        <v>30.5</v>
      </c>
      <c r="J12" s="6">
        <v>51.9</v>
      </c>
      <c r="K12" s="6">
        <v>215.9</v>
      </c>
      <c r="L12" s="6">
        <v>654.70000000000005</v>
      </c>
      <c r="M12" s="6">
        <v>251.2</v>
      </c>
      <c r="N12" s="6">
        <v>713.4</v>
      </c>
      <c r="O12" s="6">
        <v>123.4</v>
      </c>
      <c r="P12" s="6">
        <v>23.1</v>
      </c>
      <c r="Q12" s="6">
        <v>41.7</v>
      </c>
      <c r="R12" s="6">
        <v>121.5</v>
      </c>
      <c r="S12" s="6">
        <v>163.9</v>
      </c>
      <c r="T12" s="6">
        <v>47.2</v>
      </c>
      <c r="U12" s="6">
        <v>110.6</v>
      </c>
      <c r="V12" s="6">
        <v>3.9</v>
      </c>
      <c r="W12" s="6">
        <v>44.6</v>
      </c>
      <c r="X12" s="6">
        <v>47.5</v>
      </c>
      <c r="Y12" s="6">
        <v>25.4</v>
      </c>
      <c r="Z12" s="6">
        <v>155</v>
      </c>
      <c r="AA12" s="7">
        <v>162.69999999999999</v>
      </c>
      <c r="AB12" s="7">
        <v>26.8</v>
      </c>
      <c r="AC12" s="7">
        <v>1.3</v>
      </c>
      <c r="AD12" s="7">
        <v>2.6</v>
      </c>
      <c r="AE12" s="7">
        <v>10.5</v>
      </c>
      <c r="AF12" s="7">
        <v>2.2000000000000002</v>
      </c>
      <c r="AG12" s="7">
        <v>24.4</v>
      </c>
      <c r="AH12" s="7">
        <v>7.6</v>
      </c>
      <c r="AI12" s="7">
        <v>1.9</v>
      </c>
      <c r="AJ12" s="7">
        <v>4.0999999999999996</v>
      </c>
      <c r="AK12" s="7">
        <v>10.5</v>
      </c>
      <c r="AL12" s="7">
        <v>54.5</v>
      </c>
      <c r="AM12" s="7">
        <v>57.8</v>
      </c>
      <c r="AN12" s="7">
        <v>48.4</v>
      </c>
      <c r="AO12" s="7">
        <v>17.899999999999999</v>
      </c>
      <c r="AP12" s="7">
        <v>22.1</v>
      </c>
      <c r="AQ12" s="7">
        <v>145.5</v>
      </c>
      <c r="AR12" s="7">
        <v>26</v>
      </c>
      <c r="AS12" s="7">
        <v>31.8</v>
      </c>
      <c r="AT12" s="7">
        <v>0</v>
      </c>
      <c r="AU12">
        <v>554.6</v>
      </c>
      <c r="AV12">
        <v>0</v>
      </c>
      <c r="AW12">
        <v>16.399999999999999</v>
      </c>
      <c r="AX12">
        <v>31.2</v>
      </c>
      <c r="AY12">
        <v>-3.5</v>
      </c>
      <c r="AZ12">
        <v>7.9</v>
      </c>
      <c r="BA12">
        <v>13</v>
      </c>
      <c r="BB12">
        <v>2137.1</v>
      </c>
      <c r="BC12">
        <v>-3367.2</v>
      </c>
      <c r="BD12" s="10">
        <f t="shared" si="0"/>
        <v>-610.5</v>
      </c>
      <c r="BE12" s="10">
        <f t="shared" si="1"/>
        <v>3738.3999999999987</v>
      </c>
    </row>
    <row r="13" spans="1:61" x14ac:dyDescent="0.3">
      <c r="A13" s="19" t="s">
        <v>65</v>
      </c>
      <c r="B13" s="5">
        <v>47.3</v>
      </c>
      <c r="C13" s="5">
        <v>0.1</v>
      </c>
      <c r="D13" s="5">
        <v>0.1</v>
      </c>
      <c r="E13" s="5">
        <v>0.3</v>
      </c>
      <c r="F13" s="5">
        <v>0.3</v>
      </c>
      <c r="G13" s="6">
        <v>33.9</v>
      </c>
      <c r="H13" s="6">
        <v>3.3</v>
      </c>
      <c r="I13" s="6">
        <v>1.8</v>
      </c>
      <c r="J13" s="6">
        <v>3.7</v>
      </c>
      <c r="K13" s="6">
        <v>11</v>
      </c>
      <c r="L13" s="6">
        <v>31.1</v>
      </c>
      <c r="M13" s="6">
        <v>233.8</v>
      </c>
      <c r="N13" s="6">
        <v>31.8</v>
      </c>
      <c r="O13" s="6">
        <v>6.3</v>
      </c>
      <c r="P13" s="6">
        <v>5.2</v>
      </c>
      <c r="Q13" s="6">
        <v>3.7</v>
      </c>
      <c r="R13" s="6">
        <v>22</v>
      </c>
      <c r="S13" s="6">
        <v>10.1</v>
      </c>
      <c r="T13" s="6">
        <v>8.4</v>
      </c>
      <c r="U13" s="6">
        <v>27.4</v>
      </c>
      <c r="V13" s="6">
        <v>0.4</v>
      </c>
      <c r="W13" s="6">
        <v>3.9</v>
      </c>
      <c r="X13" s="6">
        <v>5.2</v>
      </c>
      <c r="Y13" s="6">
        <v>2.1</v>
      </c>
      <c r="Z13" s="6">
        <v>13.9</v>
      </c>
      <c r="AA13" s="7">
        <v>24</v>
      </c>
      <c r="AB13" s="7">
        <v>4</v>
      </c>
      <c r="AC13" s="7">
        <v>0.3</v>
      </c>
      <c r="AD13" s="7">
        <v>1.6</v>
      </c>
      <c r="AE13" s="7">
        <v>1.7</v>
      </c>
      <c r="AF13" s="7">
        <v>0.3</v>
      </c>
      <c r="AG13" s="7">
        <v>4.2</v>
      </c>
      <c r="AH13" s="7">
        <v>1.6</v>
      </c>
      <c r="AI13" s="7">
        <v>1.3</v>
      </c>
      <c r="AJ13" s="7">
        <v>3.4</v>
      </c>
      <c r="AK13" s="7">
        <v>2.8</v>
      </c>
      <c r="AL13" s="7">
        <v>5.4</v>
      </c>
      <c r="AM13" s="7">
        <v>15.1</v>
      </c>
      <c r="AN13" s="7">
        <v>6.4</v>
      </c>
      <c r="AO13" s="7">
        <v>5.4</v>
      </c>
      <c r="AP13" s="7">
        <v>2.9</v>
      </c>
      <c r="AQ13" s="7">
        <v>359.9</v>
      </c>
      <c r="AR13" s="7">
        <v>4.5</v>
      </c>
      <c r="AS13" s="7">
        <v>4.2</v>
      </c>
      <c r="AT13" s="7">
        <v>0</v>
      </c>
      <c r="AU13">
        <v>711.9</v>
      </c>
      <c r="AV13">
        <v>1.2</v>
      </c>
      <c r="AW13">
        <v>1122.0999999999999</v>
      </c>
      <c r="AX13">
        <v>58.3</v>
      </c>
      <c r="AY13">
        <v>-11</v>
      </c>
      <c r="AZ13">
        <v>4.8</v>
      </c>
      <c r="BA13">
        <v>12.2</v>
      </c>
      <c r="BB13">
        <v>1975.6</v>
      </c>
      <c r="BC13">
        <v>-1505.5</v>
      </c>
      <c r="BD13" s="10">
        <f t="shared" si="0"/>
        <v>2369.5999999999995</v>
      </c>
      <c r="BE13" s="10">
        <f t="shared" si="1"/>
        <v>3325.7</v>
      </c>
    </row>
    <row r="14" spans="1:61" x14ac:dyDescent="0.3">
      <c r="A14" s="19" t="s">
        <v>66</v>
      </c>
      <c r="B14" s="5">
        <v>45.8</v>
      </c>
      <c r="C14" s="5">
        <v>0.2</v>
      </c>
      <c r="D14" s="5">
        <v>0.2</v>
      </c>
      <c r="E14" s="5">
        <v>0.7</v>
      </c>
      <c r="F14" s="5">
        <v>0.9</v>
      </c>
      <c r="G14" s="6">
        <v>211.8</v>
      </c>
      <c r="H14" s="6">
        <v>51.7</v>
      </c>
      <c r="I14" s="6">
        <v>32.299999999999997</v>
      </c>
      <c r="J14" s="6">
        <v>50</v>
      </c>
      <c r="K14" s="6">
        <v>5.6</v>
      </c>
      <c r="L14" s="6">
        <v>71.7</v>
      </c>
      <c r="M14" s="6">
        <v>38.1</v>
      </c>
      <c r="N14" s="6">
        <v>454</v>
      </c>
      <c r="O14" s="6">
        <v>29.8</v>
      </c>
      <c r="P14" s="6">
        <v>6.3</v>
      </c>
      <c r="Q14" s="6">
        <v>42.3</v>
      </c>
      <c r="R14" s="6">
        <v>438.9</v>
      </c>
      <c r="S14" s="6">
        <v>219</v>
      </c>
      <c r="T14" s="6">
        <v>77.099999999999994</v>
      </c>
      <c r="U14" s="6">
        <v>431.1</v>
      </c>
      <c r="V14" s="6">
        <v>5.5</v>
      </c>
      <c r="W14" s="6">
        <v>104.4</v>
      </c>
      <c r="X14" s="6">
        <v>14.4</v>
      </c>
      <c r="Y14" s="6">
        <v>33</v>
      </c>
      <c r="Z14" s="6">
        <v>336.6</v>
      </c>
      <c r="AA14" s="7">
        <v>98.6</v>
      </c>
      <c r="AB14" s="7">
        <v>52.8</v>
      </c>
      <c r="AC14" s="7">
        <v>0.3</v>
      </c>
      <c r="AD14" s="7">
        <v>0.6</v>
      </c>
      <c r="AE14" s="7">
        <v>13.7</v>
      </c>
      <c r="AF14" s="7">
        <v>1.4</v>
      </c>
      <c r="AG14" s="7">
        <v>8.1999999999999993</v>
      </c>
      <c r="AH14" s="7">
        <v>3.6</v>
      </c>
      <c r="AI14" s="7">
        <v>2.7</v>
      </c>
      <c r="AJ14" s="7">
        <v>1.2</v>
      </c>
      <c r="AK14" s="7">
        <v>16.399999999999999</v>
      </c>
      <c r="AL14" s="7">
        <v>47.4</v>
      </c>
      <c r="AM14" s="7">
        <v>29</v>
      </c>
      <c r="AN14" s="7">
        <v>18.8</v>
      </c>
      <c r="AO14" s="7">
        <v>22.4</v>
      </c>
      <c r="AP14" s="7">
        <v>2.2999999999999998</v>
      </c>
      <c r="AQ14" s="7">
        <v>41.5</v>
      </c>
      <c r="AR14" s="7">
        <v>3.9</v>
      </c>
      <c r="AS14" s="7">
        <v>4</v>
      </c>
      <c r="AT14" s="7">
        <v>0</v>
      </c>
      <c r="AU14">
        <v>278.39999999999998</v>
      </c>
      <c r="AV14">
        <v>0</v>
      </c>
      <c r="AW14">
        <v>8.5</v>
      </c>
      <c r="AX14">
        <v>70.5</v>
      </c>
      <c r="AY14">
        <v>-24.3</v>
      </c>
      <c r="AZ14">
        <v>1</v>
      </c>
      <c r="BA14">
        <v>9.4</v>
      </c>
      <c r="BB14">
        <v>2693.4</v>
      </c>
      <c r="BC14">
        <v>-2005.7</v>
      </c>
      <c r="BD14" s="10">
        <f t="shared" si="0"/>
        <v>1031.2</v>
      </c>
      <c r="BE14" s="10">
        <f t="shared" si="1"/>
        <v>4101.4000000000005</v>
      </c>
    </row>
    <row r="15" spans="1:61" x14ac:dyDescent="0.3">
      <c r="A15" s="19" t="s">
        <v>67</v>
      </c>
      <c r="B15" s="5">
        <v>22.4</v>
      </c>
      <c r="C15" s="5">
        <v>0.1</v>
      </c>
      <c r="D15" s="5">
        <v>0.1</v>
      </c>
      <c r="E15" s="5">
        <v>7.8</v>
      </c>
      <c r="F15" s="5">
        <v>2.9</v>
      </c>
      <c r="G15" s="6">
        <v>73</v>
      </c>
      <c r="H15" s="6">
        <v>4</v>
      </c>
      <c r="I15" s="6">
        <v>7.5</v>
      </c>
      <c r="J15" s="6">
        <v>2.4</v>
      </c>
      <c r="K15" s="6">
        <v>3.6</v>
      </c>
      <c r="L15" s="6">
        <v>10.5</v>
      </c>
      <c r="M15" s="6">
        <v>12.8</v>
      </c>
      <c r="N15" s="6">
        <v>17.3</v>
      </c>
      <c r="O15" s="6">
        <v>299.39999999999998</v>
      </c>
      <c r="P15" s="6">
        <v>9.1</v>
      </c>
      <c r="Q15" s="6">
        <v>10.3</v>
      </c>
      <c r="R15" s="6">
        <v>41.6</v>
      </c>
      <c r="S15" s="6">
        <v>32.1</v>
      </c>
      <c r="T15" s="6">
        <v>22.2</v>
      </c>
      <c r="U15" s="6">
        <v>114.7</v>
      </c>
      <c r="V15" s="6">
        <v>1.6</v>
      </c>
      <c r="W15" s="6">
        <v>11</v>
      </c>
      <c r="X15" s="6">
        <v>20.100000000000001</v>
      </c>
      <c r="Y15" s="6">
        <v>8.8000000000000007</v>
      </c>
      <c r="Z15" s="6">
        <v>1171</v>
      </c>
      <c r="AA15" s="7">
        <v>69.099999999999994</v>
      </c>
      <c r="AB15" s="7">
        <v>5.5</v>
      </c>
      <c r="AC15" s="7">
        <v>1</v>
      </c>
      <c r="AD15" s="7">
        <v>0.9</v>
      </c>
      <c r="AE15" s="7">
        <v>7.4</v>
      </c>
      <c r="AF15" s="7">
        <v>0.2</v>
      </c>
      <c r="AG15" s="7">
        <v>5.8</v>
      </c>
      <c r="AH15" s="7">
        <v>0.5</v>
      </c>
      <c r="AI15" s="7">
        <v>3.9</v>
      </c>
      <c r="AJ15" s="7">
        <v>0.8</v>
      </c>
      <c r="AK15" s="7">
        <v>2.1</v>
      </c>
      <c r="AL15" s="7">
        <v>207.1</v>
      </c>
      <c r="AM15" s="7">
        <v>22.6</v>
      </c>
      <c r="AN15" s="7">
        <v>8.5</v>
      </c>
      <c r="AO15" s="7">
        <v>2.7</v>
      </c>
      <c r="AP15" s="7">
        <v>1.1000000000000001</v>
      </c>
      <c r="AQ15" s="7">
        <v>13.3</v>
      </c>
      <c r="AR15" s="7">
        <v>1</v>
      </c>
      <c r="AS15" s="7">
        <v>1.7</v>
      </c>
      <c r="AT15" s="7">
        <v>0</v>
      </c>
      <c r="AU15">
        <v>108.2</v>
      </c>
      <c r="AV15">
        <v>0</v>
      </c>
      <c r="AW15">
        <v>5.2</v>
      </c>
      <c r="AX15">
        <v>74.7</v>
      </c>
      <c r="AY15">
        <v>-7.6</v>
      </c>
      <c r="AZ15">
        <v>0.8</v>
      </c>
      <c r="BA15">
        <v>1.8</v>
      </c>
      <c r="BB15">
        <v>955.6</v>
      </c>
      <c r="BC15">
        <v>-747.8</v>
      </c>
      <c r="BD15" s="10">
        <f t="shared" si="0"/>
        <v>390.90000000000009</v>
      </c>
      <c r="BE15" s="10">
        <f t="shared" si="1"/>
        <v>2652.3999999999996</v>
      </c>
    </row>
    <row r="16" spans="1:61" x14ac:dyDescent="0.3">
      <c r="A16" s="19" t="s">
        <v>68</v>
      </c>
      <c r="B16" s="5">
        <v>16.899999999999999</v>
      </c>
      <c r="C16" s="5">
        <v>0.1</v>
      </c>
      <c r="D16" s="5">
        <v>0.4</v>
      </c>
      <c r="E16" s="5">
        <v>1.3</v>
      </c>
      <c r="F16" s="5">
        <v>4.5999999999999996</v>
      </c>
      <c r="G16" s="6">
        <v>27.9</v>
      </c>
      <c r="H16" s="6">
        <v>2</v>
      </c>
      <c r="I16" s="6">
        <v>30.1</v>
      </c>
      <c r="J16" s="6">
        <v>5.3</v>
      </c>
      <c r="K16" s="6">
        <v>17.100000000000001</v>
      </c>
      <c r="L16" s="6">
        <v>24.2</v>
      </c>
      <c r="M16" s="6">
        <v>13.2</v>
      </c>
      <c r="N16" s="6">
        <v>45.8</v>
      </c>
      <c r="O16" s="6">
        <v>52.1</v>
      </c>
      <c r="P16" s="6">
        <v>663</v>
      </c>
      <c r="Q16" s="6">
        <v>617.6</v>
      </c>
      <c r="R16" s="6">
        <v>53.2</v>
      </c>
      <c r="S16" s="6">
        <v>555.6</v>
      </c>
      <c r="T16" s="6">
        <v>406.3</v>
      </c>
      <c r="U16" s="6">
        <v>310.2</v>
      </c>
      <c r="V16" s="6">
        <v>32.9</v>
      </c>
      <c r="W16" s="6">
        <v>85.8</v>
      </c>
      <c r="X16" s="6">
        <v>22.4</v>
      </c>
      <c r="Y16" s="6">
        <v>20.399999999999999</v>
      </c>
      <c r="Z16" s="6">
        <v>336.9</v>
      </c>
      <c r="AA16" s="7">
        <v>90.3</v>
      </c>
      <c r="AB16" s="7">
        <v>61.9</v>
      </c>
      <c r="AC16" s="7">
        <v>0.5</v>
      </c>
      <c r="AD16" s="7">
        <v>0.1</v>
      </c>
      <c r="AE16" s="7">
        <v>8.1999999999999993</v>
      </c>
      <c r="AF16" s="7">
        <v>0</v>
      </c>
      <c r="AG16" s="7">
        <v>0.5</v>
      </c>
      <c r="AH16" s="7">
        <v>0.1</v>
      </c>
      <c r="AI16" s="7">
        <v>0.3</v>
      </c>
      <c r="AJ16" s="7">
        <v>0.8</v>
      </c>
      <c r="AK16" s="7">
        <v>0.2</v>
      </c>
      <c r="AL16" s="7">
        <v>44.9</v>
      </c>
      <c r="AM16" s="7">
        <v>80.2</v>
      </c>
      <c r="AN16" s="7">
        <v>75.2</v>
      </c>
      <c r="AO16" s="7">
        <v>0.1</v>
      </c>
      <c r="AP16" s="7">
        <v>0.2</v>
      </c>
      <c r="AQ16" s="7">
        <v>2</v>
      </c>
      <c r="AR16" s="7">
        <v>0.3</v>
      </c>
      <c r="AS16" s="7">
        <v>5.9</v>
      </c>
      <c r="AT16" s="7">
        <v>0</v>
      </c>
      <c r="AU16">
        <v>1.7</v>
      </c>
      <c r="AV16">
        <v>0</v>
      </c>
      <c r="AW16">
        <v>0.1</v>
      </c>
      <c r="AX16">
        <v>2.9</v>
      </c>
      <c r="AY16">
        <v>-0.2</v>
      </c>
      <c r="AZ16">
        <v>0.1</v>
      </c>
      <c r="BA16">
        <v>0</v>
      </c>
      <c r="BB16">
        <v>1275.3</v>
      </c>
      <c r="BC16">
        <v>-2699.1</v>
      </c>
      <c r="BD16" s="10">
        <f t="shared" si="0"/>
        <v>-1419.2</v>
      </c>
      <c r="BE16" s="10">
        <f t="shared" si="1"/>
        <v>2297.8000000000006</v>
      </c>
    </row>
    <row r="17" spans="1:57" x14ac:dyDescent="0.3">
      <c r="A17" s="19" t="s">
        <v>69</v>
      </c>
      <c r="B17" s="5">
        <v>22.6</v>
      </c>
      <c r="C17" s="5">
        <v>0.1</v>
      </c>
      <c r="D17" s="5">
        <v>0.2</v>
      </c>
      <c r="E17" s="5">
        <v>1.4</v>
      </c>
      <c r="F17" s="5">
        <v>1.8</v>
      </c>
      <c r="G17" s="6">
        <v>157</v>
      </c>
      <c r="H17" s="6">
        <v>14.7</v>
      </c>
      <c r="I17" s="6">
        <v>25</v>
      </c>
      <c r="J17" s="6">
        <v>14.1</v>
      </c>
      <c r="K17" s="6">
        <v>16.600000000000001</v>
      </c>
      <c r="L17" s="6">
        <v>23.3</v>
      </c>
      <c r="M17" s="6">
        <v>13.3</v>
      </c>
      <c r="N17" s="6">
        <v>103</v>
      </c>
      <c r="O17" s="6">
        <v>19.600000000000001</v>
      </c>
      <c r="P17" s="6">
        <v>41.3</v>
      </c>
      <c r="Q17" s="6">
        <v>638.9</v>
      </c>
      <c r="R17" s="6">
        <v>154.19999999999999</v>
      </c>
      <c r="S17" s="6">
        <v>133.9</v>
      </c>
      <c r="T17" s="6">
        <v>494.4</v>
      </c>
      <c r="U17" s="6">
        <v>688.5</v>
      </c>
      <c r="V17" s="6">
        <v>15.3</v>
      </c>
      <c r="W17" s="6">
        <v>115.3</v>
      </c>
      <c r="X17" s="6">
        <v>65.099999999999994</v>
      </c>
      <c r="Y17" s="6">
        <v>18</v>
      </c>
      <c r="Z17" s="6">
        <v>737.9</v>
      </c>
      <c r="AA17" s="7">
        <v>130.1</v>
      </c>
      <c r="AB17" s="7">
        <v>22.8</v>
      </c>
      <c r="AC17" s="7">
        <v>0.4</v>
      </c>
      <c r="AD17" s="7">
        <v>1.7</v>
      </c>
      <c r="AE17" s="7">
        <v>23.2</v>
      </c>
      <c r="AF17" s="7">
        <v>1</v>
      </c>
      <c r="AG17" s="7">
        <v>6.1</v>
      </c>
      <c r="AH17" s="7">
        <v>2.6</v>
      </c>
      <c r="AI17" s="7">
        <v>15.4</v>
      </c>
      <c r="AJ17" s="7">
        <v>6.2</v>
      </c>
      <c r="AK17" s="7">
        <v>6.6</v>
      </c>
      <c r="AL17" s="7">
        <v>78.3</v>
      </c>
      <c r="AM17" s="7">
        <v>23.6</v>
      </c>
      <c r="AN17" s="7">
        <v>19.399999999999999</v>
      </c>
      <c r="AO17" s="7">
        <v>17.5</v>
      </c>
      <c r="AP17" s="7">
        <v>16.899999999999999</v>
      </c>
      <c r="AQ17" s="7">
        <v>21</v>
      </c>
      <c r="AR17" s="7">
        <v>10.5</v>
      </c>
      <c r="AS17" s="7">
        <v>6.4</v>
      </c>
      <c r="AT17" s="7">
        <v>0</v>
      </c>
      <c r="AU17">
        <v>251.5</v>
      </c>
      <c r="AV17">
        <v>0</v>
      </c>
      <c r="AW17">
        <v>7.7</v>
      </c>
      <c r="AX17">
        <v>458.2</v>
      </c>
      <c r="AY17">
        <v>-96.2</v>
      </c>
      <c r="AZ17">
        <v>2</v>
      </c>
      <c r="BA17">
        <v>5.2</v>
      </c>
      <c r="BB17">
        <v>1663.5</v>
      </c>
      <c r="BC17">
        <v>-2129.1999999999998</v>
      </c>
      <c r="BD17" s="10">
        <f t="shared" si="0"/>
        <v>162.70000000000027</v>
      </c>
      <c r="BE17" s="10">
        <f t="shared" si="1"/>
        <v>4087.9000000000005</v>
      </c>
    </row>
    <row r="18" spans="1:57" x14ac:dyDescent="0.3">
      <c r="A18" s="19" t="s">
        <v>70</v>
      </c>
      <c r="B18" s="5">
        <v>12.6</v>
      </c>
      <c r="C18" s="5">
        <v>0.1</v>
      </c>
      <c r="D18" s="5">
        <v>0.6</v>
      </c>
      <c r="E18" s="5">
        <v>0.7</v>
      </c>
      <c r="F18" s="5">
        <v>4.3</v>
      </c>
      <c r="G18" s="6">
        <v>26.2</v>
      </c>
      <c r="H18" s="6">
        <v>2.9</v>
      </c>
      <c r="I18" s="6">
        <v>2.5</v>
      </c>
      <c r="J18" s="6">
        <v>8.1999999999999993</v>
      </c>
      <c r="K18" s="6">
        <v>11.5</v>
      </c>
      <c r="L18" s="6">
        <v>8.5</v>
      </c>
      <c r="M18" s="6">
        <v>12.2</v>
      </c>
      <c r="N18" s="6">
        <v>41.8</v>
      </c>
      <c r="O18" s="6">
        <v>5.2</v>
      </c>
      <c r="P18" s="6">
        <v>4.2</v>
      </c>
      <c r="Q18" s="6">
        <v>32.5</v>
      </c>
      <c r="R18" s="6">
        <v>8952.7000000000007</v>
      </c>
      <c r="S18" s="6">
        <v>306.3</v>
      </c>
      <c r="T18" s="6">
        <v>102.1</v>
      </c>
      <c r="U18" s="6">
        <v>1117.8</v>
      </c>
      <c r="V18" s="6">
        <v>2</v>
      </c>
      <c r="W18" s="6">
        <v>242.4</v>
      </c>
      <c r="X18" s="6">
        <v>45.5</v>
      </c>
      <c r="Y18" s="6">
        <v>16.600000000000001</v>
      </c>
      <c r="Z18" s="6">
        <v>96.7</v>
      </c>
      <c r="AA18" s="7">
        <v>214.3</v>
      </c>
      <c r="AB18" s="7">
        <v>23.9</v>
      </c>
      <c r="AC18" s="7">
        <v>0.6</v>
      </c>
      <c r="AD18" s="7">
        <v>3.1</v>
      </c>
      <c r="AE18" s="7">
        <v>20.399999999999999</v>
      </c>
      <c r="AF18" s="7">
        <v>9</v>
      </c>
      <c r="AG18" s="7">
        <v>9.8000000000000007</v>
      </c>
      <c r="AH18" s="7">
        <v>10.8</v>
      </c>
      <c r="AI18" s="7">
        <v>69.400000000000006</v>
      </c>
      <c r="AJ18" s="7">
        <v>82.6</v>
      </c>
      <c r="AK18" s="7">
        <v>55.6</v>
      </c>
      <c r="AL18" s="7">
        <v>45.3</v>
      </c>
      <c r="AM18" s="7">
        <v>79.2</v>
      </c>
      <c r="AN18" s="7">
        <v>46</v>
      </c>
      <c r="AO18" s="7">
        <v>42.1</v>
      </c>
      <c r="AP18" s="7">
        <v>43.2</v>
      </c>
      <c r="AQ18" s="7">
        <v>98.5</v>
      </c>
      <c r="AR18" s="7">
        <v>13.4</v>
      </c>
      <c r="AS18" s="7">
        <v>34.1</v>
      </c>
      <c r="AT18" s="7">
        <v>0</v>
      </c>
      <c r="AU18">
        <v>803.9</v>
      </c>
      <c r="AV18">
        <v>0.1</v>
      </c>
      <c r="AW18">
        <v>14.7</v>
      </c>
      <c r="AX18">
        <v>1749.5</v>
      </c>
      <c r="AY18">
        <v>-333.5</v>
      </c>
      <c r="AZ18">
        <v>7</v>
      </c>
      <c r="BA18">
        <v>13.8</v>
      </c>
      <c r="BB18">
        <v>16589.900000000001</v>
      </c>
      <c r="BC18">
        <v>-11811.5</v>
      </c>
      <c r="BD18" s="10">
        <f t="shared" si="0"/>
        <v>7033.9000000000015</v>
      </c>
      <c r="BE18" s="10">
        <f t="shared" si="1"/>
        <v>18991.300000000003</v>
      </c>
    </row>
    <row r="19" spans="1:57" x14ac:dyDescent="0.3">
      <c r="A19" s="19" t="s">
        <v>71</v>
      </c>
      <c r="B19" s="5">
        <v>17.899999999999999</v>
      </c>
      <c r="C19" s="5">
        <v>0.1</v>
      </c>
      <c r="D19" s="5">
        <v>0.2</v>
      </c>
      <c r="E19" s="5">
        <v>1.1000000000000001</v>
      </c>
      <c r="F19" s="5">
        <v>1.3</v>
      </c>
      <c r="G19" s="6">
        <v>23</v>
      </c>
      <c r="H19" s="6">
        <v>4.8</v>
      </c>
      <c r="I19" s="6">
        <v>2.8</v>
      </c>
      <c r="J19" s="6">
        <v>8.1</v>
      </c>
      <c r="K19" s="6">
        <v>16.399999999999999</v>
      </c>
      <c r="L19" s="6">
        <v>15.1</v>
      </c>
      <c r="M19" s="6">
        <v>7.7</v>
      </c>
      <c r="N19" s="6">
        <v>27.9</v>
      </c>
      <c r="O19" s="6">
        <v>9</v>
      </c>
      <c r="P19" s="6">
        <v>9.5</v>
      </c>
      <c r="Q19" s="6">
        <v>136.1</v>
      </c>
      <c r="R19" s="6">
        <v>1387.7</v>
      </c>
      <c r="S19" s="6">
        <v>475.2</v>
      </c>
      <c r="T19" s="6">
        <v>265.7</v>
      </c>
      <c r="U19" s="6">
        <v>652.6</v>
      </c>
      <c r="V19" s="6">
        <v>11.4</v>
      </c>
      <c r="W19" s="6">
        <v>62.4</v>
      </c>
      <c r="X19" s="6">
        <v>106.9</v>
      </c>
      <c r="Y19" s="6">
        <v>12</v>
      </c>
      <c r="Z19" s="6">
        <v>406.3</v>
      </c>
      <c r="AA19" s="7">
        <v>103.8</v>
      </c>
      <c r="AB19" s="7">
        <v>26.3</v>
      </c>
      <c r="AC19" s="7">
        <v>1.2</v>
      </c>
      <c r="AD19" s="7">
        <v>2</v>
      </c>
      <c r="AE19" s="7">
        <v>9.8000000000000007</v>
      </c>
      <c r="AF19" s="7">
        <v>1.2</v>
      </c>
      <c r="AG19" s="7">
        <v>7.6</v>
      </c>
      <c r="AH19" s="7">
        <v>2</v>
      </c>
      <c r="AI19" s="7">
        <v>40.200000000000003</v>
      </c>
      <c r="AJ19" s="7">
        <v>11.2</v>
      </c>
      <c r="AK19" s="7">
        <v>5</v>
      </c>
      <c r="AL19" s="7">
        <v>58.8</v>
      </c>
      <c r="AM19" s="7">
        <v>38.700000000000003</v>
      </c>
      <c r="AN19" s="7">
        <v>17.600000000000001</v>
      </c>
      <c r="AO19" s="7">
        <v>22.5</v>
      </c>
      <c r="AP19" s="7">
        <v>3.9</v>
      </c>
      <c r="AQ19" s="7">
        <v>10.4</v>
      </c>
      <c r="AR19" s="7">
        <v>5</v>
      </c>
      <c r="AS19" s="7">
        <v>6.8</v>
      </c>
      <c r="AT19" s="7">
        <v>0</v>
      </c>
      <c r="AU19">
        <v>537.79999999999995</v>
      </c>
      <c r="AV19">
        <v>0</v>
      </c>
      <c r="AW19">
        <v>3.9</v>
      </c>
      <c r="AX19">
        <v>761.7</v>
      </c>
      <c r="AY19">
        <v>-128.19999999999999</v>
      </c>
      <c r="AZ19">
        <v>4.2</v>
      </c>
      <c r="BA19">
        <v>3.7</v>
      </c>
      <c r="BB19">
        <v>3408.3</v>
      </c>
      <c r="BC19">
        <v>-4498.5</v>
      </c>
      <c r="BD19" s="10">
        <f t="shared" si="0"/>
        <v>92.900000000000546</v>
      </c>
      <c r="BE19" s="10">
        <f t="shared" si="1"/>
        <v>4128.0999999999985</v>
      </c>
    </row>
    <row r="20" spans="1:57" x14ac:dyDescent="0.3">
      <c r="A20" s="19" t="s">
        <v>72</v>
      </c>
      <c r="B20" s="5">
        <v>133.4</v>
      </c>
      <c r="C20" s="5">
        <v>0.6</v>
      </c>
      <c r="D20" s="5">
        <v>1.3</v>
      </c>
      <c r="E20" s="5">
        <v>9.6999999999999993</v>
      </c>
      <c r="F20" s="5">
        <v>5.2</v>
      </c>
      <c r="G20" s="6">
        <v>103</v>
      </c>
      <c r="H20" s="6">
        <v>14.3</v>
      </c>
      <c r="I20" s="6">
        <v>10.3</v>
      </c>
      <c r="J20" s="6">
        <v>46.5</v>
      </c>
      <c r="K20" s="6">
        <v>54.9</v>
      </c>
      <c r="L20" s="6">
        <v>51.1</v>
      </c>
      <c r="M20" s="6">
        <v>25.6</v>
      </c>
      <c r="N20" s="6">
        <v>55.1</v>
      </c>
      <c r="O20" s="6">
        <v>43.8</v>
      </c>
      <c r="P20" s="6">
        <v>37.299999999999997</v>
      </c>
      <c r="Q20" s="6">
        <v>89.8</v>
      </c>
      <c r="R20" s="6">
        <v>278.3</v>
      </c>
      <c r="S20" s="6">
        <v>137.9</v>
      </c>
      <c r="T20" s="6">
        <v>589.20000000000005</v>
      </c>
      <c r="U20" s="6">
        <v>2409.6999999999998</v>
      </c>
      <c r="V20" s="6">
        <v>11.2</v>
      </c>
      <c r="W20" s="6">
        <v>70.7</v>
      </c>
      <c r="X20" s="6">
        <v>102.8</v>
      </c>
      <c r="Y20" s="6">
        <v>35.6</v>
      </c>
      <c r="Z20" s="6">
        <v>247.8</v>
      </c>
      <c r="AA20" s="7">
        <v>360.7</v>
      </c>
      <c r="AB20" s="7">
        <v>63.3</v>
      </c>
      <c r="AC20" s="7">
        <v>0.8</v>
      </c>
      <c r="AD20" s="7">
        <v>4.5999999999999996</v>
      </c>
      <c r="AE20" s="7">
        <v>49.7</v>
      </c>
      <c r="AF20" s="7">
        <v>1</v>
      </c>
      <c r="AG20" s="7">
        <v>16.3</v>
      </c>
      <c r="AH20" s="7">
        <v>6.2</v>
      </c>
      <c r="AI20" s="7">
        <v>12.6</v>
      </c>
      <c r="AJ20" s="7">
        <v>12.2</v>
      </c>
      <c r="AK20" s="7">
        <v>16.7</v>
      </c>
      <c r="AL20" s="7">
        <v>67.8</v>
      </c>
      <c r="AM20" s="7">
        <v>47.9</v>
      </c>
      <c r="AN20" s="7">
        <v>29.9</v>
      </c>
      <c r="AO20" s="7">
        <v>13.5</v>
      </c>
      <c r="AP20" s="7">
        <v>7.5</v>
      </c>
      <c r="AQ20" s="7">
        <v>18.600000000000001</v>
      </c>
      <c r="AR20" s="7">
        <v>6.5</v>
      </c>
      <c r="AS20" s="7">
        <v>20.7</v>
      </c>
      <c r="AT20" s="7">
        <v>0</v>
      </c>
      <c r="AU20">
        <v>243.8</v>
      </c>
      <c r="AV20">
        <v>0.1</v>
      </c>
      <c r="AW20">
        <v>14.9</v>
      </c>
      <c r="AX20">
        <v>3115.5</v>
      </c>
      <c r="AY20">
        <v>-518.6</v>
      </c>
      <c r="AZ20">
        <v>1.1000000000000001</v>
      </c>
      <c r="BA20">
        <v>6.9</v>
      </c>
      <c r="BB20">
        <v>4470.8</v>
      </c>
      <c r="BC20">
        <v>-6124.4</v>
      </c>
      <c r="BD20" s="10">
        <f t="shared" si="0"/>
        <v>1210.1000000000004</v>
      </c>
      <c r="BE20" s="10">
        <f t="shared" si="1"/>
        <v>6531.7000000000025</v>
      </c>
    </row>
    <row r="21" spans="1:57" x14ac:dyDescent="0.3">
      <c r="A21" s="19" t="s">
        <v>73</v>
      </c>
      <c r="B21" s="5">
        <v>27.7</v>
      </c>
      <c r="C21" s="5">
        <v>0.2</v>
      </c>
      <c r="D21" s="5">
        <v>0.3</v>
      </c>
      <c r="E21" s="5">
        <v>1.9</v>
      </c>
      <c r="F21" s="5">
        <v>1.2</v>
      </c>
      <c r="G21" s="6">
        <v>21.7</v>
      </c>
      <c r="H21" s="6">
        <v>6.6</v>
      </c>
      <c r="I21" s="6">
        <v>2.5</v>
      </c>
      <c r="J21" s="6">
        <v>6.7</v>
      </c>
      <c r="K21" s="6">
        <v>4.9000000000000004</v>
      </c>
      <c r="L21" s="6">
        <v>6.8</v>
      </c>
      <c r="M21" s="6">
        <v>5.3</v>
      </c>
      <c r="N21" s="6">
        <v>32.9</v>
      </c>
      <c r="O21" s="6">
        <v>18.2</v>
      </c>
      <c r="P21" s="6">
        <v>22.5</v>
      </c>
      <c r="Q21" s="6">
        <v>45</v>
      </c>
      <c r="R21" s="6">
        <v>231.3</v>
      </c>
      <c r="S21" s="6">
        <v>66.599999999999994</v>
      </c>
      <c r="T21" s="6">
        <v>91.8</v>
      </c>
      <c r="U21" s="6">
        <v>2329.1</v>
      </c>
      <c r="V21" s="6">
        <v>14.2</v>
      </c>
      <c r="W21" s="6">
        <v>21.3</v>
      </c>
      <c r="X21" s="6">
        <v>19.8</v>
      </c>
      <c r="Y21" s="6">
        <v>16.7</v>
      </c>
      <c r="Z21" s="6">
        <v>126.5</v>
      </c>
      <c r="AA21" s="7">
        <v>358</v>
      </c>
      <c r="AB21" s="7">
        <v>125.6</v>
      </c>
      <c r="AC21" s="7">
        <v>2.4</v>
      </c>
      <c r="AD21" s="7">
        <v>1.8</v>
      </c>
      <c r="AE21" s="7">
        <v>21.8</v>
      </c>
      <c r="AF21" s="7">
        <v>1</v>
      </c>
      <c r="AG21" s="7">
        <v>2.6</v>
      </c>
      <c r="AH21" s="7">
        <v>1.4</v>
      </c>
      <c r="AI21" s="7">
        <v>5.7</v>
      </c>
      <c r="AJ21" s="7">
        <v>5.2</v>
      </c>
      <c r="AK21" s="7">
        <v>5</v>
      </c>
      <c r="AL21" s="7">
        <v>23.8</v>
      </c>
      <c r="AM21" s="7">
        <v>19</v>
      </c>
      <c r="AN21" s="7">
        <v>25.2</v>
      </c>
      <c r="AO21" s="7">
        <v>10.4</v>
      </c>
      <c r="AP21" s="7">
        <v>2.6</v>
      </c>
      <c r="AQ21" s="7">
        <v>6.3</v>
      </c>
      <c r="AR21" s="7">
        <v>2.7</v>
      </c>
      <c r="AS21" s="7">
        <v>8.3000000000000007</v>
      </c>
      <c r="AT21" s="7">
        <v>0</v>
      </c>
      <c r="AU21">
        <v>1439.4</v>
      </c>
      <c r="AV21">
        <v>0</v>
      </c>
      <c r="AW21">
        <v>3.5</v>
      </c>
      <c r="AX21">
        <v>1630.6</v>
      </c>
      <c r="AY21">
        <v>-597.70000000000005</v>
      </c>
      <c r="AZ21">
        <v>4.4000000000000004</v>
      </c>
      <c r="BA21">
        <v>13.8</v>
      </c>
      <c r="BB21">
        <v>12458.8</v>
      </c>
      <c r="BC21">
        <v>-3434.1</v>
      </c>
      <c r="BD21" s="10">
        <f t="shared" si="0"/>
        <v>11518.699999999999</v>
      </c>
      <c r="BE21" s="10">
        <f t="shared" si="1"/>
        <v>15269.199999999999</v>
      </c>
    </row>
    <row r="22" spans="1:57" x14ac:dyDescent="0.3">
      <c r="A22" s="19" t="s">
        <v>74</v>
      </c>
      <c r="B22" s="5">
        <v>1</v>
      </c>
      <c r="C22" s="5">
        <v>0</v>
      </c>
      <c r="D22" s="5">
        <v>0</v>
      </c>
      <c r="E22" s="5">
        <v>0</v>
      </c>
      <c r="F22" s="5">
        <v>0</v>
      </c>
      <c r="G22" s="6">
        <v>1</v>
      </c>
      <c r="H22" s="6">
        <v>0.1</v>
      </c>
      <c r="I22" s="6">
        <v>0.1</v>
      </c>
      <c r="J22" s="6">
        <v>0.1</v>
      </c>
      <c r="K22" s="6">
        <v>0.1</v>
      </c>
      <c r="L22" s="6">
        <v>0.1</v>
      </c>
      <c r="M22" s="6">
        <v>0.1</v>
      </c>
      <c r="N22" s="6">
        <v>0.3</v>
      </c>
      <c r="O22" s="6">
        <v>0.1</v>
      </c>
      <c r="P22" s="6">
        <v>59.8</v>
      </c>
      <c r="Q22" s="6">
        <v>1.2</v>
      </c>
      <c r="R22" s="6">
        <v>5.2</v>
      </c>
      <c r="S22" s="6">
        <v>3.9</v>
      </c>
      <c r="T22" s="6">
        <v>13</v>
      </c>
      <c r="U22" s="6">
        <v>7.3</v>
      </c>
      <c r="V22" s="6">
        <v>94.8</v>
      </c>
      <c r="W22" s="6">
        <v>22.2</v>
      </c>
      <c r="X22" s="6">
        <v>0.6</v>
      </c>
      <c r="Y22" s="6">
        <v>0.3</v>
      </c>
      <c r="Z22" s="6">
        <v>7.3</v>
      </c>
      <c r="AA22" s="7">
        <v>17.899999999999999</v>
      </c>
      <c r="AB22" s="7">
        <v>12</v>
      </c>
      <c r="AC22" s="7">
        <v>0.1</v>
      </c>
      <c r="AD22" s="7">
        <v>0.7</v>
      </c>
      <c r="AE22" s="7">
        <v>13.4</v>
      </c>
      <c r="AF22" s="7">
        <v>0.1</v>
      </c>
      <c r="AG22" s="7">
        <v>0.1</v>
      </c>
      <c r="AH22" s="7">
        <v>0.1</v>
      </c>
      <c r="AI22" s="7">
        <v>0.2</v>
      </c>
      <c r="AJ22" s="7">
        <v>0.4</v>
      </c>
      <c r="AK22" s="7">
        <v>0.1</v>
      </c>
      <c r="AL22" s="7">
        <v>0.5</v>
      </c>
      <c r="AM22" s="7">
        <v>0.7</v>
      </c>
      <c r="AN22" s="7">
        <v>14.3</v>
      </c>
      <c r="AO22" s="7">
        <v>8.9</v>
      </c>
      <c r="AP22" s="7">
        <v>0.4</v>
      </c>
      <c r="AQ22" s="7">
        <v>0.9</v>
      </c>
      <c r="AR22" s="7">
        <v>0.5</v>
      </c>
      <c r="AS22" s="7">
        <v>0.5</v>
      </c>
      <c r="AT22" s="7">
        <v>0</v>
      </c>
      <c r="AU22">
        <v>124.2</v>
      </c>
      <c r="AV22">
        <v>0</v>
      </c>
      <c r="AW22">
        <v>21</v>
      </c>
      <c r="AX22">
        <v>416</v>
      </c>
      <c r="AY22">
        <v>-63.7</v>
      </c>
      <c r="AZ22">
        <v>0</v>
      </c>
      <c r="BA22">
        <v>0</v>
      </c>
      <c r="BB22">
        <v>257.10000000000002</v>
      </c>
      <c r="BC22">
        <v>-564.5</v>
      </c>
      <c r="BD22" s="10">
        <f t="shared" si="0"/>
        <v>190.10000000000014</v>
      </c>
      <c r="BE22" s="10">
        <f t="shared" si="1"/>
        <v>480.5</v>
      </c>
    </row>
    <row r="23" spans="1:57" x14ac:dyDescent="0.3">
      <c r="A23" s="19" t="s">
        <v>75</v>
      </c>
      <c r="B23" s="5">
        <v>9.3000000000000007</v>
      </c>
      <c r="C23" s="5">
        <v>0.1</v>
      </c>
      <c r="D23" s="5">
        <v>0.2</v>
      </c>
      <c r="E23" s="5">
        <v>2.4</v>
      </c>
      <c r="F23" s="5">
        <v>1.8</v>
      </c>
      <c r="G23" s="6">
        <v>28.7</v>
      </c>
      <c r="H23" s="6">
        <v>39.4</v>
      </c>
      <c r="I23" s="6">
        <v>7</v>
      </c>
      <c r="J23" s="6">
        <v>10.8</v>
      </c>
      <c r="K23" s="6">
        <v>56</v>
      </c>
      <c r="L23" s="6">
        <v>28.7</v>
      </c>
      <c r="M23" s="6">
        <v>16.8</v>
      </c>
      <c r="N23" s="6">
        <v>30.6</v>
      </c>
      <c r="O23" s="6">
        <v>8.3000000000000007</v>
      </c>
      <c r="P23" s="6">
        <v>9.5</v>
      </c>
      <c r="Q23" s="6">
        <v>20.5</v>
      </c>
      <c r="R23" s="6">
        <v>109.8</v>
      </c>
      <c r="S23" s="6">
        <v>20.7</v>
      </c>
      <c r="T23" s="6">
        <v>75.400000000000006</v>
      </c>
      <c r="U23" s="6">
        <v>111.7</v>
      </c>
      <c r="V23" s="6">
        <v>2.5</v>
      </c>
      <c r="W23" s="6">
        <v>95.3</v>
      </c>
      <c r="X23" s="6">
        <v>170.7</v>
      </c>
      <c r="Y23" s="6">
        <v>10.8</v>
      </c>
      <c r="Z23" s="6">
        <v>80.3</v>
      </c>
      <c r="AA23" s="7">
        <v>50.8</v>
      </c>
      <c r="AB23" s="7">
        <v>115.7</v>
      </c>
      <c r="AC23" s="7">
        <v>1.9</v>
      </c>
      <c r="AD23" s="7">
        <v>13.8</v>
      </c>
      <c r="AE23" s="7">
        <v>79.2</v>
      </c>
      <c r="AF23" s="7">
        <v>1.3</v>
      </c>
      <c r="AG23" s="7">
        <v>4.5</v>
      </c>
      <c r="AH23" s="7">
        <v>3.8</v>
      </c>
      <c r="AI23" s="7">
        <v>21.1</v>
      </c>
      <c r="AJ23" s="7">
        <v>5.5</v>
      </c>
      <c r="AK23" s="7">
        <v>18.100000000000001</v>
      </c>
      <c r="AL23" s="7">
        <v>22.4</v>
      </c>
      <c r="AM23" s="7">
        <v>21.9</v>
      </c>
      <c r="AN23" s="7">
        <v>11.8</v>
      </c>
      <c r="AO23" s="7">
        <v>29</v>
      </c>
      <c r="AP23" s="7">
        <v>18</v>
      </c>
      <c r="AQ23" s="7">
        <v>176.5</v>
      </c>
      <c r="AR23" s="7">
        <v>7.1</v>
      </c>
      <c r="AS23" s="7">
        <v>6.9</v>
      </c>
      <c r="AT23" s="7">
        <v>0</v>
      </c>
      <c r="AU23">
        <v>751</v>
      </c>
      <c r="AV23">
        <v>0</v>
      </c>
      <c r="AW23">
        <v>114.8</v>
      </c>
      <c r="AX23">
        <v>482.9</v>
      </c>
      <c r="AY23">
        <v>-61.5</v>
      </c>
      <c r="AZ23">
        <v>26.3</v>
      </c>
      <c r="BA23">
        <v>69.3</v>
      </c>
      <c r="BB23">
        <v>1129.4000000000001</v>
      </c>
      <c r="BC23">
        <v>-1031.7</v>
      </c>
      <c r="BD23" s="10">
        <f t="shared" si="0"/>
        <v>1480.4999999999998</v>
      </c>
      <c r="BE23" s="10">
        <f t="shared" si="1"/>
        <v>3037.1000000000004</v>
      </c>
    </row>
    <row r="24" spans="1:57" x14ac:dyDescent="0.3">
      <c r="A24" s="19" t="s">
        <v>76</v>
      </c>
      <c r="B24" s="5">
        <v>227.8</v>
      </c>
      <c r="C24" s="5">
        <v>1.4</v>
      </c>
      <c r="D24" s="5">
        <v>1.1000000000000001</v>
      </c>
      <c r="E24" s="5">
        <v>13.9</v>
      </c>
      <c r="F24" s="5">
        <v>3.5</v>
      </c>
      <c r="G24" s="6">
        <v>274.89999999999998</v>
      </c>
      <c r="H24" s="6">
        <v>20.5</v>
      </c>
      <c r="I24" s="6">
        <v>31.6</v>
      </c>
      <c r="J24" s="6">
        <v>110.9</v>
      </c>
      <c r="K24" s="6">
        <v>248.3</v>
      </c>
      <c r="L24" s="6">
        <v>324.7</v>
      </c>
      <c r="M24" s="6">
        <v>90.7</v>
      </c>
      <c r="N24" s="6">
        <v>110.6</v>
      </c>
      <c r="O24" s="6">
        <v>192.4</v>
      </c>
      <c r="P24" s="6">
        <v>141.6</v>
      </c>
      <c r="Q24" s="6">
        <v>64.3</v>
      </c>
      <c r="R24" s="6">
        <v>126.5</v>
      </c>
      <c r="S24" s="6">
        <v>51.8</v>
      </c>
      <c r="T24" s="6">
        <v>96.2</v>
      </c>
      <c r="U24" s="6">
        <v>183.3</v>
      </c>
      <c r="V24" s="6">
        <v>10.7</v>
      </c>
      <c r="W24" s="6">
        <v>37.700000000000003</v>
      </c>
      <c r="X24" s="6">
        <v>492</v>
      </c>
      <c r="Y24" s="6">
        <v>166.4</v>
      </c>
      <c r="Z24" s="6">
        <v>107</v>
      </c>
      <c r="AA24" s="7">
        <v>624.20000000000005</v>
      </c>
      <c r="AB24" s="7">
        <v>119</v>
      </c>
      <c r="AC24" s="7">
        <v>1.5</v>
      </c>
      <c r="AD24" s="7">
        <v>3.2</v>
      </c>
      <c r="AE24" s="7">
        <v>200.4</v>
      </c>
      <c r="AF24" s="7">
        <v>10.5</v>
      </c>
      <c r="AG24" s="7">
        <v>181.1</v>
      </c>
      <c r="AH24" s="7">
        <v>23</v>
      </c>
      <c r="AI24" s="7">
        <v>72.400000000000006</v>
      </c>
      <c r="AJ24" s="7">
        <v>34.700000000000003</v>
      </c>
      <c r="AK24" s="7">
        <v>68.3</v>
      </c>
      <c r="AL24" s="7">
        <v>258.2</v>
      </c>
      <c r="AM24" s="7">
        <v>155.19999999999999</v>
      </c>
      <c r="AN24" s="7">
        <v>61.9</v>
      </c>
      <c r="AO24" s="7">
        <v>364</v>
      </c>
      <c r="AP24" s="7">
        <v>224.5</v>
      </c>
      <c r="AQ24" s="7">
        <v>190.9</v>
      </c>
      <c r="AR24" s="7">
        <v>136.1</v>
      </c>
      <c r="AS24" s="7">
        <v>68.2</v>
      </c>
      <c r="AT24" s="7">
        <v>0</v>
      </c>
      <c r="AU24">
        <v>2359.8000000000002</v>
      </c>
      <c r="AV24">
        <v>0.4</v>
      </c>
      <c r="AW24">
        <v>63.8</v>
      </c>
      <c r="AX24">
        <v>148.6</v>
      </c>
      <c r="AY24">
        <v>1.8</v>
      </c>
      <c r="AZ24">
        <v>2.9</v>
      </c>
      <c r="BA24">
        <v>6.4</v>
      </c>
      <c r="BB24">
        <v>498.8</v>
      </c>
      <c r="BC24">
        <v>-879.3</v>
      </c>
      <c r="BD24" s="10">
        <f t="shared" si="0"/>
        <v>2203.2000000000007</v>
      </c>
      <c r="BE24" s="10">
        <f t="shared" si="1"/>
        <v>8130.2999999999947</v>
      </c>
    </row>
    <row r="25" spans="1:57" x14ac:dyDescent="0.3">
      <c r="A25" s="19" t="s">
        <v>77</v>
      </c>
      <c r="B25" s="5">
        <v>35.1</v>
      </c>
      <c r="C25" s="5">
        <v>0.2</v>
      </c>
      <c r="D25" s="5">
        <v>0.3</v>
      </c>
      <c r="E25" s="5">
        <v>1.9</v>
      </c>
      <c r="F25" s="5">
        <v>2.1</v>
      </c>
      <c r="G25" s="6">
        <v>69.5</v>
      </c>
      <c r="H25" s="6">
        <v>4.3</v>
      </c>
      <c r="I25" s="6">
        <v>12.7</v>
      </c>
      <c r="J25" s="6">
        <v>17.100000000000001</v>
      </c>
      <c r="K25" s="6">
        <v>29.5</v>
      </c>
      <c r="L25" s="6">
        <v>63.9</v>
      </c>
      <c r="M25" s="6">
        <v>33.9</v>
      </c>
      <c r="N25" s="6">
        <v>19.100000000000001</v>
      </c>
      <c r="O25" s="6">
        <v>16.2</v>
      </c>
      <c r="P25" s="6">
        <v>131.19999999999999</v>
      </c>
      <c r="Q25" s="6">
        <v>9.6</v>
      </c>
      <c r="R25" s="6">
        <v>16.399999999999999</v>
      </c>
      <c r="S25" s="6">
        <v>6.6</v>
      </c>
      <c r="T25" s="6">
        <v>11.9</v>
      </c>
      <c r="U25" s="6">
        <v>31.6</v>
      </c>
      <c r="V25" s="6">
        <v>1.5</v>
      </c>
      <c r="W25" s="6">
        <v>6.5</v>
      </c>
      <c r="X25" s="6">
        <v>30.9</v>
      </c>
      <c r="Y25" s="6">
        <v>244.3</v>
      </c>
      <c r="Z25" s="6">
        <v>55.5</v>
      </c>
      <c r="AA25" s="7">
        <v>159.9</v>
      </c>
      <c r="AB25" s="7">
        <v>12.8</v>
      </c>
      <c r="AC25" s="7">
        <v>0.9</v>
      </c>
      <c r="AD25" s="7">
        <v>1.1000000000000001</v>
      </c>
      <c r="AE25" s="7">
        <v>9.1999999999999993</v>
      </c>
      <c r="AF25" s="7">
        <v>1.5</v>
      </c>
      <c r="AG25" s="7">
        <v>40.200000000000003</v>
      </c>
      <c r="AH25" s="7">
        <v>4.0999999999999996</v>
      </c>
      <c r="AI25" s="7">
        <v>5.9</v>
      </c>
      <c r="AJ25" s="7">
        <v>3.4</v>
      </c>
      <c r="AK25" s="7">
        <v>20.7</v>
      </c>
      <c r="AL25" s="7">
        <v>59.3</v>
      </c>
      <c r="AM25" s="7">
        <v>23.3</v>
      </c>
      <c r="AN25" s="7">
        <v>25.3</v>
      </c>
      <c r="AO25" s="7">
        <v>94.5</v>
      </c>
      <c r="AP25" s="7">
        <v>42.9</v>
      </c>
      <c r="AQ25" s="7">
        <v>73.599999999999994</v>
      </c>
      <c r="AR25" s="7">
        <v>38.200000000000003</v>
      </c>
      <c r="AS25" s="7">
        <v>25.8</v>
      </c>
      <c r="AT25" s="7">
        <v>0</v>
      </c>
      <c r="AU25">
        <v>957.1</v>
      </c>
      <c r="AV25">
        <v>0.9</v>
      </c>
      <c r="AW25">
        <v>163.69999999999999</v>
      </c>
      <c r="AX25">
        <v>96.1</v>
      </c>
      <c r="AY25">
        <v>-1</v>
      </c>
      <c r="AZ25">
        <v>0.9</v>
      </c>
      <c r="BA25">
        <v>4.2</v>
      </c>
      <c r="BB25">
        <v>62.6</v>
      </c>
      <c r="BC25">
        <v>-52.4</v>
      </c>
      <c r="BD25" s="10">
        <f t="shared" si="0"/>
        <v>1232.0999999999999</v>
      </c>
      <c r="BE25" s="10">
        <f t="shared" si="1"/>
        <v>2726.4999999999995</v>
      </c>
    </row>
    <row r="26" spans="1:57" x14ac:dyDescent="0.3">
      <c r="A26" s="19" t="s">
        <v>78</v>
      </c>
      <c r="B26" s="5">
        <v>14</v>
      </c>
      <c r="C26" s="5">
        <v>0.2</v>
      </c>
      <c r="D26" s="5">
        <v>0.2</v>
      </c>
      <c r="E26" s="5">
        <v>4.5</v>
      </c>
      <c r="F26" s="5">
        <v>3.1</v>
      </c>
      <c r="G26" s="6">
        <v>28.1</v>
      </c>
      <c r="H26" s="6">
        <v>3</v>
      </c>
      <c r="I26" s="6">
        <v>3</v>
      </c>
      <c r="J26" s="6">
        <v>6.3</v>
      </c>
      <c r="K26" s="6">
        <v>23.3</v>
      </c>
      <c r="L26" s="6">
        <v>10.5</v>
      </c>
      <c r="M26" s="6">
        <v>6</v>
      </c>
      <c r="N26" s="6">
        <v>11.1</v>
      </c>
      <c r="O26" s="6">
        <v>22.6</v>
      </c>
      <c r="P26" s="6">
        <v>5.8</v>
      </c>
      <c r="Q26" s="6">
        <v>17.100000000000001</v>
      </c>
      <c r="R26" s="6">
        <v>46.1</v>
      </c>
      <c r="S26" s="6">
        <v>10.4</v>
      </c>
      <c r="T26" s="6">
        <v>27.9</v>
      </c>
      <c r="U26" s="6">
        <v>54</v>
      </c>
      <c r="V26" s="6">
        <v>2</v>
      </c>
      <c r="W26" s="6">
        <v>11.6</v>
      </c>
      <c r="X26" s="6">
        <v>112.2</v>
      </c>
      <c r="Y26" s="6">
        <v>41.5</v>
      </c>
      <c r="Z26" s="6">
        <v>516.20000000000005</v>
      </c>
      <c r="AA26" s="7">
        <v>81.3</v>
      </c>
      <c r="AB26" s="7">
        <v>33.1</v>
      </c>
      <c r="AC26" s="7">
        <v>1.1000000000000001</v>
      </c>
      <c r="AD26" s="7">
        <v>4.4000000000000004</v>
      </c>
      <c r="AE26" s="7">
        <v>159.1</v>
      </c>
      <c r="AF26" s="7">
        <v>2.2000000000000002</v>
      </c>
      <c r="AG26" s="7">
        <v>17.7</v>
      </c>
      <c r="AH26" s="7">
        <v>8.6999999999999993</v>
      </c>
      <c r="AI26" s="7">
        <v>27.2</v>
      </c>
      <c r="AJ26" s="7">
        <v>8.6999999999999993</v>
      </c>
      <c r="AK26" s="7">
        <v>29</v>
      </c>
      <c r="AL26" s="7">
        <v>264.60000000000002</v>
      </c>
      <c r="AM26" s="7">
        <v>69.099999999999994</v>
      </c>
      <c r="AN26" s="7">
        <v>20.8</v>
      </c>
      <c r="AO26" s="7">
        <v>215.4</v>
      </c>
      <c r="AP26" s="7">
        <v>56.3</v>
      </c>
      <c r="AQ26" s="7">
        <v>34.799999999999997</v>
      </c>
      <c r="AR26" s="7">
        <v>27.2</v>
      </c>
      <c r="AS26" s="7">
        <v>23.8</v>
      </c>
      <c r="AT26" s="7">
        <v>0</v>
      </c>
      <c r="AU26">
        <v>111.1</v>
      </c>
      <c r="AV26">
        <v>0</v>
      </c>
      <c r="AW26">
        <v>65.3</v>
      </c>
      <c r="AX26">
        <v>12067.2</v>
      </c>
      <c r="AY26">
        <v>0.9</v>
      </c>
      <c r="AZ26">
        <v>3.7</v>
      </c>
      <c r="BA26">
        <v>11.7</v>
      </c>
      <c r="BB26">
        <v>155.6</v>
      </c>
      <c r="BC26">
        <v>-161.69999999999999</v>
      </c>
      <c r="BD26" s="10">
        <f t="shared" si="0"/>
        <v>12253.800000000001</v>
      </c>
      <c r="BE26" s="10">
        <f t="shared" si="1"/>
        <v>14319.000000000002</v>
      </c>
    </row>
    <row r="27" spans="1:57" x14ac:dyDescent="0.3">
      <c r="A27" s="19" t="s">
        <v>79</v>
      </c>
      <c r="B27" s="8">
        <v>956.1</v>
      </c>
      <c r="C27" s="8">
        <v>3.7</v>
      </c>
      <c r="D27" s="8">
        <v>3.5</v>
      </c>
      <c r="E27" s="8">
        <v>15.3</v>
      </c>
      <c r="F27" s="8">
        <v>10.6</v>
      </c>
      <c r="G27" s="9">
        <v>1325.2</v>
      </c>
      <c r="H27" s="9">
        <v>242.2</v>
      </c>
      <c r="I27" s="9">
        <v>92.6</v>
      </c>
      <c r="J27" s="9">
        <v>244.1</v>
      </c>
      <c r="K27" s="9">
        <v>532.6</v>
      </c>
      <c r="L27" s="9">
        <v>439.4</v>
      </c>
      <c r="M27" s="9">
        <v>278.89999999999998</v>
      </c>
      <c r="N27" s="9">
        <v>452.2</v>
      </c>
      <c r="O27" s="9">
        <v>200.5</v>
      </c>
      <c r="P27" s="9">
        <v>178.5</v>
      </c>
      <c r="Q27" s="9">
        <v>281.7</v>
      </c>
      <c r="R27" s="9">
        <v>2222.1</v>
      </c>
      <c r="S27" s="9">
        <v>390</v>
      </c>
      <c r="T27" s="9">
        <v>480</v>
      </c>
      <c r="U27" s="9">
        <v>1457.9</v>
      </c>
      <c r="V27" s="9">
        <v>32.700000000000003</v>
      </c>
      <c r="W27" s="9">
        <v>247.3</v>
      </c>
      <c r="X27" s="9">
        <v>372.6</v>
      </c>
      <c r="Y27" s="9">
        <v>87.8</v>
      </c>
      <c r="Z27" s="9">
        <v>887.7</v>
      </c>
      <c r="AA27" s="1">
        <v>1648.6</v>
      </c>
      <c r="AB27" s="1">
        <v>471</v>
      </c>
      <c r="AC27" s="1">
        <v>14.9</v>
      </c>
      <c r="AD27" s="1">
        <v>52.6</v>
      </c>
      <c r="AE27" s="1">
        <v>126.7</v>
      </c>
      <c r="AF27" s="1">
        <v>35.299999999999997</v>
      </c>
      <c r="AG27" s="1">
        <v>488.9</v>
      </c>
      <c r="AH27" s="1">
        <v>79.099999999999994</v>
      </c>
      <c r="AI27" s="1">
        <v>94.1</v>
      </c>
      <c r="AJ27" s="1">
        <v>75.8</v>
      </c>
      <c r="AK27" s="1">
        <v>162.30000000000001</v>
      </c>
      <c r="AL27" s="1">
        <v>260.3</v>
      </c>
      <c r="AM27" s="1">
        <v>254.1</v>
      </c>
      <c r="AN27" s="1">
        <v>252.2</v>
      </c>
      <c r="AO27" s="1">
        <v>159.80000000000001</v>
      </c>
      <c r="AP27" s="1">
        <v>103.1</v>
      </c>
      <c r="AQ27" s="1">
        <v>434.4</v>
      </c>
      <c r="AR27" s="1">
        <v>82.2</v>
      </c>
      <c r="AS27" s="1">
        <v>105.5</v>
      </c>
      <c r="AT27" s="1">
        <v>0</v>
      </c>
      <c r="AU27">
        <v>7333</v>
      </c>
      <c r="AV27">
        <v>3.1</v>
      </c>
      <c r="AW27">
        <v>577</v>
      </c>
      <c r="AX27">
        <v>2071.4</v>
      </c>
      <c r="AY27">
        <v>-24.5</v>
      </c>
      <c r="AZ27">
        <v>94.7</v>
      </c>
      <c r="BA27">
        <v>226.4</v>
      </c>
      <c r="BB27">
        <v>9750.7000000000007</v>
      </c>
      <c r="BC27">
        <v>-11412</v>
      </c>
      <c r="BD27" s="10">
        <f t="shared" si="0"/>
        <v>8619.8000000000029</v>
      </c>
      <c r="BE27" s="10">
        <f t="shared" si="1"/>
        <v>24955.9</v>
      </c>
    </row>
    <row r="28" spans="1:57" x14ac:dyDescent="0.3">
      <c r="A28" s="19" t="s">
        <v>80</v>
      </c>
      <c r="B28" s="8">
        <v>143.5</v>
      </c>
      <c r="C28" s="8">
        <v>0.9</v>
      </c>
      <c r="D28" s="8">
        <v>4.8</v>
      </c>
      <c r="E28" s="8">
        <v>25.6</v>
      </c>
      <c r="F28" s="8">
        <v>12</v>
      </c>
      <c r="G28" s="9">
        <v>281.39999999999998</v>
      </c>
      <c r="H28" s="9">
        <v>25</v>
      </c>
      <c r="I28" s="9">
        <v>18.100000000000001</v>
      </c>
      <c r="J28" s="9">
        <v>50.8</v>
      </c>
      <c r="K28" s="9">
        <v>137.9</v>
      </c>
      <c r="L28" s="9">
        <v>72</v>
      </c>
      <c r="M28" s="9">
        <v>28.8</v>
      </c>
      <c r="N28" s="9">
        <v>70</v>
      </c>
      <c r="O28" s="9">
        <v>112.8</v>
      </c>
      <c r="P28" s="9">
        <v>71.5</v>
      </c>
      <c r="Q28" s="9">
        <v>70.7</v>
      </c>
      <c r="R28" s="9">
        <v>300.8</v>
      </c>
      <c r="S28" s="9">
        <v>71.5</v>
      </c>
      <c r="T28" s="9">
        <v>107.9</v>
      </c>
      <c r="U28" s="9">
        <v>229.3</v>
      </c>
      <c r="V28" s="9">
        <v>6.8</v>
      </c>
      <c r="W28" s="9">
        <v>43.7</v>
      </c>
      <c r="X28" s="9">
        <v>354.1</v>
      </c>
      <c r="Y28" s="9">
        <v>43.4</v>
      </c>
      <c r="Z28" s="9">
        <v>366.3</v>
      </c>
      <c r="AA28" s="1">
        <v>956.9</v>
      </c>
      <c r="AB28" s="1">
        <v>141.19999999999999</v>
      </c>
      <c r="AC28" s="1">
        <v>4.7</v>
      </c>
      <c r="AD28" s="1">
        <v>18.7</v>
      </c>
      <c r="AE28" s="1">
        <v>32.299999999999997</v>
      </c>
      <c r="AF28" s="1">
        <v>16.8</v>
      </c>
      <c r="AG28" s="1">
        <v>50.8</v>
      </c>
      <c r="AH28" s="1">
        <v>20.3</v>
      </c>
      <c r="AI28" s="1">
        <v>30.7</v>
      </c>
      <c r="AJ28" s="1">
        <v>16.399999999999999</v>
      </c>
      <c r="AK28" s="1">
        <v>32.700000000000003</v>
      </c>
      <c r="AL28" s="1">
        <v>54.6</v>
      </c>
      <c r="AM28" s="1">
        <v>74.5</v>
      </c>
      <c r="AN28" s="1">
        <v>134.9</v>
      </c>
      <c r="AO28" s="1">
        <v>63.8</v>
      </c>
      <c r="AP28" s="1">
        <v>33.5</v>
      </c>
      <c r="AQ28" s="1">
        <v>45.3</v>
      </c>
      <c r="AR28" s="1">
        <v>24.6</v>
      </c>
      <c r="AS28" s="1">
        <v>38.9</v>
      </c>
      <c r="AT28" s="1">
        <v>0</v>
      </c>
      <c r="AU28">
        <v>1034</v>
      </c>
      <c r="AV28">
        <v>0.1</v>
      </c>
      <c r="AW28">
        <v>1362.1</v>
      </c>
      <c r="AX28">
        <v>224.6</v>
      </c>
      <c r="AY28">
        <v>527.9</v>
      </c>
      <c r="AZ28">
        <v>153.80000000000001</v>
      </c>
      <c r="BA28">
        <v>428.6</v>
      </c>
      <c r="BB28">
        <v>2325.6999999999998</v>
      </c>
      <c r="BC28">
        <v>-2639.6</v>
      </c>
      <c r="BD28" s="10">
        <f t="shared" si="0"/>
        <v>3417.1999999999994</v>
      </c>
      <c r="BE28" s="10">
        <f t="shared" si="1"/>
        <v>7858.4000000000015</v>
      </c>
    </row>
    <row r="29" spans="1:57" x14ac:dyDescent="0.3">
      <c r="A29" s="19" t="s">
        <v>81</v>
      </c>
      <c r="B29" s="8">
        <v>2.8</v>
      </c>
      <c r="C29" s="8">
        <v>0</v>
      </c>
      <c r="D29" s="8">
        <v>0</v>
      </c>
      <c r="E29" s="8">
        <v>0.1</v>
      </c>
      <c r="F29" s="8">
        <v>0.1</v>
      </c>
      <c r="G29" s="9">
        <v>4.0999999999999996</v>
      </c>
      <c r="H29" s="9">
        <v>0.9</v>
      </c>
      <c r="I29" s="9">
        <v>0.5</v>
      </c>
      <c r="J29" s="9">
        <v>0.9</v>
      </c>
      <c r="K29" s="9">
        <v>10.1</v>
      </c>
      <c r="L29" s="9">
        <v>2.9</v>
      </c>
      <c r="M29" s="9">
        <v>0.8</v>
      </c>
      <c r="N29" s="9">
        <v>1.9</v>
      </c>
      <c r="O29" s="9">
        <v>1.8</v>
      </c>
      <c r="P29" s="9">
        <v>2.1</v>
      </c>
      <c r="Q29" s="9">
        <v>1.6</v>
      </c>
      <c r="R29" s="9">
        <v>13.4</v>
      </c>
      <c r="S29" s="9">
        <v>2.7</v>
      </c>
      <c r="T29" s="9">
        <v>2.2000000000000002</v>
      </c>
      <c r="U29" s="9">
        <v>11.1</v>
      </c>
      <c r="V29" s="9">
        <v>0.8</v>
      </c>
      <c r="W29" s="9">
        <v>1.1000000000000001</v>
      </c>
      <c r="X29" s="9">
        <v>2.7</v>
      </c>
      <c r="Y29" s="9">
        <v>0.4</v>
      </c>
      <c r="Z29" s="9">
        <v>5.2</v>
      </c>
      <c r="AA29" s="1">
        <v>14.7</v>
      </c>
      <c r="AB29" s="1">
        <v>4.5</v>
      </c>
      <c r="AC29" s="1">
        <v>0.6</v>
      </c>
      <c r="AD29" s="1">
        <v>1.3</v>
      </c>
      <c r="AE29" s="1">
        <v>4.5999999999999996</v>
      </c>
      <c r="AF29" s="1">
        <v>0.1</v>
      </c>
      <c r="AG29" s="1">
        <v>1.1000000000000001</v>
      </c>
      <c r="AH29" s="1">
        <v>0.3</v>
      </c>
      <c r="AI29" s="1">
        <v>0.3</v>
      </c>
      <c r="AJ29" s="1">
        <v>0.2</v>
      </c>
      <c r="AK29" s="1">
        <v>0.4</v>
      </c>
      <c r="AL29" s="1">
        <v>1.1000000000000001</v>
      </c>
      <c r="AM29" s="1">
        <v>1</v>
      </c>
      <c r="AN29" s="1">
        <v>4.0999999999999996</v>
      </c>
      <c r="AO29" s="1">
        <v>0.9</v>
      </c>
      <c r="AP29" s="1">
        <v>0.4</v>
      </c>
      <c r="AQ29" s="1">
        <v>1.2</v>
      </c>
      <c r="AR29" s="1">
        <v>0.6</v>
      </c>
      <c r="AS29" s="1">
        <v>0.4</v>
      </c>
      <c r="AT29" s="1">
        <v>0</v>
      </c>
      <c r="AU29">
        <v>104.5</v>
      </c>
      <c r="AV29">
        <v>0.4</v>
      </c>
      <c r="AW29">
        <v>2.7</v>
      </c>
      <c r="AX29">
        <v>7</v>
      </c>
      <c r="AY29">
        <v>52.3</v>
      </c>
      <c r="AZ29">
        <v>31.8</v>
      </c>
      <c r="BA29">
        <v>47</v>
      </c>
      <c r="BB29">
        <v>36.1</v>
      </c>
      <c r="BC29">
        <v>-214.7</v>
      </c>
      <c r="BD29" s="10">
        <f t="shared" si="0"/>
        <v>67.100000000000023</v>
      </c>
      <c r="BE29" s="10">
        <f t="shared" si="1"/>
        <v>175.10000000000002</v>
      </c>
    </row>
    <row r="30" spans="1:57" x14ac:dyDescent="0.3">
      <c r="A30" s="19" t="s">
        <v>82</v>
      </c>
      <c r="B30" s="8">
        <v>7</v>
      </c>
      <c r="C30" s="8">
        <v>0</v>
      </c>
      <c r="D30" s="8">
        <v>0.1</v>
      </c>
      <c r="E30" s="8">
        <v>0.3</v>
      </c>
      <c r="F30" s="8">
        <v>0.3</v>
      </c>
      <c r="G30" s="9">
        <v>11.6</v>
      </c>
      <c r="H30" s="9">
        <v>2.1</v>
      </c>
      <c r="I30" s="9">
        <v>1.1000000000000001</v>
      </c>
      <c r="J30" s="9">
        <v>2.6</v>
      </c>
      <c r="K30" s="9">
        <v>11.5</v>
      </c>
      <c r="L30" s="9">
        <v>4.7</v>
      </c>
      <c r="M30" s="9">
        <v>4.2</v>
      </c>
      <c r="N30" s="9">
        <v>5.3</v>
      </c>
      <c r="O30" s="9">
        <v>3.1</v>
      </c>
      <c r="P30" s="9">
        <v>3.2</v>
      </c>
      <c r="Q30" s="9">
        <v>4.9000000000000004</v>
      </c>
      <c r="R30" s="9">
        <v>37.9</v>
      </c>
      <c r="S30" s="9">
        <v>7.5</v>
      </c>
      <c r="T30" s="9">
        <v>6.6</v>
      </c>
      <c r="U30" s="9">
        <v>15.8</v>
      </c>
      <c r="V30" s="9">
        <v>0.8</v>
      </c>
      <c r="W30" s="9">
        <v>3.4</v>
      </c>
      <c r="X30" s="9">
        <v>7.8</v>
      </c>
      <c r="Y30" s="9">
        <v>1.6</v>
      </c>
      <c r="Z30" s="9">
        <v>14.5</v>
      </c>
      <c r="AA30" s="1">
        <v>26.1</v>
      </c>
      <c r="AB30" s="1">
        <v>11.2</v>
      </c>
      <c r="AC30" s="1">
        <v>0.2</v>
      </c>
      <c r="AD30" s="1">
        <v>15.1</v>
      </c>
      <c r="AE30" s="1">
        <v>4.5999999999999996</v>
      </c>
      <c r="AF30" s="1">
        <v>2.5</v>
      </c>
      <c r="AG30" s="1">
        <v>4.8</v>
      </c>
      <c r="AH30" s="1">
        <v>2</v>
      </c>
      <c r="AI30" s="1">
        <v>1.5</v>
      </c>
      <c r="AJ30" s="1">
        <v>4</v>
      </c>
      <c r="AK30" s="1">
        <v>2.8</v>
      </c>
      <c r="AL30" s="1">
        <v>6.4</v>
      </c>
      <c r="AM30" s="1">
        <v>16.5</v>
      </c>
      <c r="AN30" s="1">
        <v>53.3</v>
      </c>
      <c r="AO30" s="1">
        <v>9.3000000000000007</v>
      </c>
      <c r="AP30" s="1">
        <v>5.0999999999999996</v>
      </c>
      <c r="AQ30" s="1">
        <v>4.0999999999999996</v>
      </c>
      <c r="AR30" s="1">
        <v>2.7</v>
      </c>
      <c r="AS30" s="1">
        <v>2.8</v>
      </c>
      <c r="AT30" s="1">
        <v>0</v>
      </c>
      <c r="AU30">
        <v>276.7</v>
      </c>
      <c r="AV30">
        <v>0</v>
      </c>
      <c r="AW30">
        <v>4.4000000000000004</v>
      </c>
      <c r="AX30">
        <v>11.5</v>
      </c>
      <c r="AY30">
        <v>211.4</v>
      </c>
      <c r="AZ30">
        <v>91.1</v>
      </c>
      <c r="BA30">
        <v>332.5</v>
      </c>
      <c r="BB30">
        <v>550.9</v>
      </c>
      <c r="BC30">
        <v>-650.29999999999995</v>
      </c>
      <c r="BD30" s="10">
        <f t="shared" si="0"/>
        <v>828.2</v>
      </c>
      <c r="BE30" s="10">
        <f t="shared" si="1"/>
        <v>1161.1000000000001</v>
      </c>
    </row>
    <row r="31" spans="1:57" x14ac:dyDescent="0.3">
      <c r="A31" s="19" t="s">
        <v>83</v>
      </c>
      <c r="B31" s="8">
        <v>64.7</v>
      </c>
      <c r="C31" s="8">
        <v>0.4</v>
      </c>
      <c r="D31" s="8">
        <v>0.3</v>
      </c>
      <c r="E31" s="8">
        <v>3.8</v>
      </c>
      <c r="F31" s="8">
        <v>1.1000000000000001</v>
      </c>
      <c r="G31" s="9">
        <v>141.30000000000001</v>
      </c>
      <c r="H31" s="9">
        <v>7.5</v>
      </c>
      <c r="I31" s="9">
        <v>6.9</v>
      </c>
      <c r="J31" s="9">
        <v>15.7</v>
      </c>
      <c r="K31" s="9">
        <v>67.599999999999994</v>
      </c>
      <c r="L31" s="9">
        <v>18</v>
      </c>
      <c r="M31" s="9">
        <v>8</v>
      </c>
      <c r="N31" s="9">
        <v>27.2</v>
      </c>
      <c r="O31" s="9">
        <v>40.1</v>
      </c>
      <c r="P31" s="9">
        <v>10.199999999999999</v>
      </c>
      <c r="Q31" s="9">
        <v>23.9</v>
      </c>
      <c r="R31" s="9">
        <v>122.2</v>
      </c>
      <c r="S31" s="9">
        <v>16.899999999999999</v>
      </c>
      <c r="T31" s="9">
        <v>26.9</v>
      </c>
      <c r="U31" s="9">
        <v>58.8</v>
      </c>
      <c r="V31" s="9">
        <v>2.5</v>
      </c>
      <c r="W31" s="9">
        <v>16.600000000000001</v>
      </c>
      <c r="X31" s="9">
        <v>102.8</v>
      </c>
      <c r="Y31" s="9">
        <v>21.1</v>
      </c>
      <c r="Z31" s="9">
        <v>163.6</v>
      </c>
      <c r="AA31" s="1">
        <v>500.1</v>
      </c>
      <c r="AB31" s="1">
        <v>1009.9</v>
      </c>
      <c r="AC31" s="1">
        <v>26</v>
      </c>
      <c r="AD31" s="1">
        <v>368.6</v>
      </c>
      <c r="AE31" s="1">
        <v>169.2</v>
      </c>
      <c r="AF31" s="1">
        <v>11.3</v>
      </c>
      <c r="AG31" s="1">
        <v>19.5</v>
      </c>
      <c r="AH31" s="1">
        <v>11.9</v>
      </c>
      <c r="AI31" s="1">
        <v>16.399999999999999</v>
      </c>
      <c r="AJ31" s="1">
        <v>8.1999999999999993</v>
      </c>
      <c r="AK31" s="1">
        <v>10.4</v>
      </c>
      <c r="AL31" s="1">
        <v>29.1</v>
      </c>
      <c r="AM31" s="1">
        <v>34.4</v>
      </c>
      <c r="AN31" s="1">
        <v>31.7</v>
      </c>
      <c r="AO31" s="1">
        <v>168.2</v>
      </c>
      <c r="AP31" s="1">
        <v>9.3000000000000007</v>
      </c>
      <c r="AQ31" s="1">
        <v>14</v>
      </c>
      <c r="AR31" s="1">
        <v>12.5</v>
      </c>
      <c r="AS31" s="1">
        <v>25.8</v>
      </c>
      <c r="AT31" s="1">
        <v>0</v>
      </c>
      <c r="AU31">
        <v>244.4</v>
      </c>
      <c r="AV31">
        <v>0</v>
      </c>
      <c r="AW31">
        <v>245.1</v>
      </c>
      <c r="AX31">
        <v>121.6</v>
      </c>
      <c r="AY31">
        <v>6.9</v>
      </c>
      <c r="AZ31">
        <v>11.5</v>
      </c>
      <c r="BA31">
        <v>18.899999999999999</v>
      </c>
      <c r="BB31">
        <v>1243.2</v>
      </c>
      <c r="BC31">
        <v>-1075.0999999999999</v>
      </c>
      <c r="BD31" s="10">
        <f t="shared" si="0"/>
        <v>816.5</v>
      </c>
      <c r="BE31" s="10">
        <f t="shared" si="1"/>
        <v>4261.1000000000004</v>
      </c>
    </row>
    <row r="32" spans="1:57" x14ac:dyDescent="0.3">
      <c r="A32" s="19" t="s">
        <v>84</v>
      </c>
      <c r="B32" s="8">
        <v>15</v>
      </c>
      <c r="C32" s="8">
        <v>0.1</v>
      </c>
      <c r="D32" s="8">
        <v>0.1</v>
      </c>
      <c r="E32" s="8">
        <v>0.5</v>
      </c>
      <c r="F32" s="8">
        <v>0.2</v>
      </c>
      <c r="G32" s="9">
        <v>15.9</v>
      </c>
      <c r="H32" s="9">
        <v>2</v>
      </c>
      <c r="I32" s="9">
        <v>1.2</v>
      </c>
      <c r="J32" s="9">
        <v>3.3</v>
      </c>
      <c r="K32" s="9">
        <v>3.7</v>
      </c>
      <c r="L32" s="9">
        <v>5.7</v>
      </c>
      <c r="M32" s="9">
        <v>6.9</v>
      </c>
      <c r="N32" s="9">
        <v>4.5999999999999996</v>
      </c>
      <c r="O32" s="9">
        <v>3.6</v>
      </c>
      <c r="P32" s="9">
        <v>1.4</v>
      </c>
      <c r="Q32" s="9">
        <v>4.4000000000000004</v>
      </c>
      <c r="R32" s="9">
        <v>7.1</v>
      </c>
      <c r="S32" s="9">
        <v>2.6</v>
      </c>
      <c r="T32" s="9">
        <v>5.6</v>
      </c>
      <c r="U32" s="9">
        <v>8.5</v>
      </c>
      <c r="V32" s="9">
        <v>0.4</v>
      </c>
      <c r="W32" s="9">
        <v>3.6</v>
      </c>
      <c r="X32" s="9">
        <v>20.6</v>
      </c>
      <c r="Y32" s="9">
        <v>10.4</v>
      </c>
      <c r="Z32" s="9">
        <v>24.2</v>
      </c>
      <c r="AA32" s="1">
        <v>93.5</v>
      </c>
      <c r="AB32" s="1">
        <v>17</v>
      </c>
      <c r="AC32" s="1">
        <v>0.4</v>
      </c>
      <c r="AD32" s="1">
        <v>3.7</v>
      </c>
      <c r="AE32" s="1">
        <v>17.5</v>
      </c>
      <c r="AF32" s="1">
        <v>62.9</v>
      </c>
      <c r="AG32" s="1">
        <v>12.3</v>
      </c>
      <c r="AH32" s="1">
        <v>40.6</v>
      </c>
      <c r="AI32" s="1">
        <v>48.1</v>
      </c>
      <c r="AJ32" s="1">
        <v>6.2</v>
      </c>
      <c r="AK32" s="1">
        <v>169.8</v>
      </c>
      <c r="AL32" s="1">
        <v>60.4</v>
      </c>
      <c r="AM32" s="1">
        <v>36.5</v>
      </c>
      <c r="AN32" s="1">
        <v>21.3</v>
      </c>
      <c r="AO32" s="1">
        <v>191.3</v>
      </c>
      <c r="AP32" s="1">
        <v>27.3</v>
      </c>
      <c r="AQ32" s="1">
        <v>36</v>
      </c>
      <c r="AR32" s="1">
        <v>25.4</v>
      </c>
      <c r="AS32" s="1">
        <v>18.8</v>
      </c>
      <c r="AT32" s="1">
        <v>0</v>
      </c>
      <c r="AU32">
        <v>138.80000000000001</v>
      </c>
      <c r="AV32">
        <v>0</v>
      </c>
      <c r="AW32">
        <v>5.8</v>
      </c>
      <c r="AX32">
        <v>3.9</v>
      </c>
      <c r="AY32">
        <v>3.8</v>
      </c>
      <c r="AZ32">
        <v>3.3</v>
      </c>
      <c r="BA32">
        <v>11.9</v>
      </c>
      <c r="BB32">
        <v>126.1</v>
      </c>
      <c r="BC32">
        <v>-343.5</v>
      </c>
      <c r="BD32" s="10">
        <f t="shared" si="0"/>
        <v>-49.899999999999977</v>
      </c>
      <c r="BE32" s="10">
        <f t="shared" si="1"/>
        <v>990.69999999999982</v>
      </c>
    </row>
    <row r="33" spans="1:57" x14ac:dyDescent="0.3">
      <c r="A33" s="19" t="s">
        <v>85</v>
      </c>
      <c r="B33" s="8">
        <v>1.8</v>
      </c>
      <c r="C33" s="8">
        <v>0</v>
      </c>
      <c r="D33" s="8">
        <v>0.1</v>
      </c>
      <c r="E33" s="8">
        <v>0.1</v>
      </c>
      <c r="F33" s="8">
        <v>0.2</v>
      </c>
      <c r="G33" s="9">
        <v>5.5</v>
      </c>
      <c r="H33" s="9">
        <v>0.7</v>
      </c>
      <c r="I33" s="9">
        <v>0.5</v>
      </c>
      <c r="J33" s="9">
        <v>1.2</v>
      </c>
      <c r="K33" s="9">
        <v>0.8</v>
      </c>
      <c r="L33" s="9">
        <v>1.5</v>
      </c>
      <c r="M33" s="9">
        <v>2.8</v>
      </c>
      <c r="N33" s="9">
        <v>2.2999999999999998</v>
      </c>
      <c r="O33" s="9">
        <v>1.1000000000000001</v>
      </c>
      <c r="P33" s="9">
        <v>1.4</v>
      </c>
      <c r="Q33" s="9">
        <v>2.5</v>
      </c>
      <c r="R33" s="9">
        <v>7.5</v>
      </c>
      <c r="S33" s="9">
        <v>1.9</v>
      </c>
      <c r="T33" s="9">
        <v>4.7</v>
      </c>
      <c r="U33" s="9">
        <v>5.8</v>
      </c>
      <c r="V33" s="9">
        <v>0.4</v>
      </c>
      <c r="W33" s="9">
        <v>1.8</v>
      </c>
      <c r="X33" s="9">
        <v>2</v>
      </c>
      <c r="Y33" s="9">
        <v>0.7</v>
      </c>
      <c r="Z33" s="9">
        <v>11</v>
      </c>
      <c r="AA33" s="1">
        <v>38.4</v>
      </c>
      <c r="AB33" s="1">
        <v>6.9</v>
      </c>
      <c r="AC33" s="1">
        <v>0</v>
      </c>
      <c r="AD33" s="1">
        <v>2</v>
      </c>
      <c r="AE33" s="1">
        <v>6.3</v>
      </c>
      <c r="AF33" s="1">
        <v>1</v>
      </c>
      <c r="AG33" s="1">
        <v>164.8</v>
      </c>
      <c r="AH33" s="1">
        <v>2.9</v>
      </c>
      <c r="AI33" s="1">
        <v>2.2000000000000002</v>
      </c>
      <c r="AJ33" s="1">
        <v>8.9</v>
      </c>
      <c r="AK33" s="1">
        <v>11.9</v>
      </c>
      <c r="AL33" s="1">
        <v>5.0999999999999996</v>
      </c>
      <c r="AM33" s="1">
        <v>39.799999999999997</v>
      </c>
      <c r="AN33" s="1">
        <v>204.5</v>
      </c>
      <c r="AO33" s="1">
        <v>62.7</v>
      </c>
      <c r="AP33" s="1">
        <v>21.2</v>
      </c>
      <c r="AQ33" s="1">
        <v>70.599999999999994</v>
      </c>
      <c r="AR33" s="1">
        <v>11.1</v>
      </c>
      <c r="AS33" s="1">
        <v>50.5</v>
      </c>
      <c r="AT33" s="1">
        <v>0</v>
      </c>
      <c r="AU33">
        <v>2803</v>
      </c>
      <c r="AV33">
        <v>0.2</v>
      </c>
      <c r="AW33">
        <v>341.7</v>
      </c>
      <c r="AX33">
        <v>2.9</v>
      </c>
      <c r="AY33">
        <v>0.2</v>
      </c>
      <c r="AZ33">
        <v>690.5</v>
      </c>
      <c r="BA33">
        <v>1496.9</v>
      </c>
      <c r="BB33">
        <v>2.1</v>
      </c>
      <c r="BC33">
        <v>-705.5</v>
      </c>
      <c r="BD33" s="10">
        <f t="shared" si="0"/>
        <v>4632</v>
      </c>
      <c r="BE33" s="10">
        <f t="shared" si="1"/>
        <v>5401.1</v>
      </c>
    </row>
    <row r="34" spans="1:57" x14ac:dyDescent="0.3">
      <c r="A34" s="19" t="s">
        <v>86</v>
      </c>
      <c r="B34" s="8">
        <v>8.1999999999999993</v>
      </c>
      <c r="C34" s="8">
        <v>0.1</v>
      </c>
      <c r="D34" s="8">
        <v>0</v>
      </c>
      <c r="E34" s="8">
        <v>0.3</v>
      </c>
      <c r="F34" s="8">
        <v>0.1</v>
      </c>
      <c r="G34" s="9">
        <v>88</v>
      </c>
      <c r="H34" s="9">
        <v>1.9</v>
      </c>
      <c r="I34" s="9">
        <v>1.9</v>
      </c>
      <c r="J34" s="9">
        <v>11.5</v>
      </c>
      <c r="K34" s="9">
        <v>4.3</v>
      </c>
      <c r="L34" s="9">
        <v>9.9</v>
      </c>
      <c r="M34" s="9">
        <v>38.5</v>
      </c>
      <c r="N34" s="9">
        <v>17.3</v>
      </c>
      <c r="O34" s="9">
        <v>4.4000000000000004</v>
      </c>
      <c r="P34" s="9">
        <v>1</v>
      </c>
      <c r="Q34" s="9">
        <v>6</v>
      </c>
      <c r="R34" s="9">
        <v>53.7</v>
      </c>
      <c r="S34" s="9">
        <v>7.9</v>
      </c>
      <c r="T34" s="9">
        <v>5.9</v>
      </c>
      <c r="U34" s="9">
        <v>20.3</v>
      </c>
      <c r="V34" s="9">
        <v>0.4</v>
      </c>
      <c r="W34" s="9">
        <v>6</v>
      </c>
      <c r="X34" s="9">
        <v>9.1</v>
      </c>
      <c r="Y34" s="9">
        <v>6.1</v>
      </c>
      <c r="Z34" s="9">
        <v>17.7</v>
      </c>
      <c r="AA34" s="1">
        <v>234.7</v>
      </c>
      <c r="AB34" s="1">
        <v>13.8</v>
      </c>
      <c r="AC34" s="1">
        <v>0.2</v>
      </c>
      <c r="AD34" s="1">
        <v>2.5</v>
      </c>
      <c r="AE34" s="1">
        <v>8.4</v>
      </c>
      <c r="AF34" s="1">
        <v>5.4</v>
      </c>
      <c r="AG34" s="1">
        <v>30.7</v>
      </c>
      <c r="AH34" s="1">
        <v>687.9</v>
      </c>
      <c r="AI34" s="1">
        <v>104.5</v>
      </c>
      <c r="AJ34" s="1">
        <v>13.2</v>
      </c>
      <c r="AK34" s="1">
        <v>29.9</v>
      </c>
      <c r="AL34" s="1">
        <v>51.6</v>
      </c>
      <c r="AM34" s="1">
        <v>131.6</v>
      </c>
      <c r="AN34" s="1">
        <v>93.1</v>
      </c>
      <c r="AO34" s="1">
        <v>30.1</v>
      </c>
      <c r="AP34" s="1">
        <v>99.5</v>
      </c>
      <c r="AQ34" s="1">
        <v>11</v>
      </c>
      <c r="AR34" s="1">
        <v>103.6</v>
      </c>
      <c r="AS34" s="1">
        <v>92.8</v>
      </c>
      <c r="AT34" s="1">
        <v>0</v>
      </c>
      <c r="AU34">
        <v>521</v>
      </c>
      <c r="AV34">
        <v>0.1</v>
      </c>
      <c r="AW34">
        <v>283.39999999999998</v>
      </c>
      <c r="AX34">
        <v>479</v>
      </c>
      <c r="AY34">
        <v>0.4</v>
      </c>
      <c r="AZ34">
        <v>9.9</v>
      </c>
      <c r="BA34">
        <v>22.2</v>
      </c>
      <c r="BB34">
        <v>1086.7</v>
      </c>
      <c r="BC34">
        <v>-1109.8</v>
      </c>
      <c r="BD34" s="10">
        <f t="shared" si="0"/>
        <v>1292.9000000000003</v>
      </c>
      <c r="BE34" s="10">
        <f t="shared" si="1"/>
        <v>3357.8999999999996</v>
      </c>
    </row>
    <row r="35" spans="1:57" x14ac:dyDescent="0.3">
      <c r="A35" s="19" t="s">
        <v>87</v>
      </c>
      <c r="B35" s="8">
        <v>18</v>
      </c>
      <c r="C35" s="8">
        <v>0.5</v>
      </c>
      <c r="D35" s="8">
        <v>0.2</v>
      </c>
      <c r="E35" s="8">
        <v>0.9</v>
      </c>
      <c r="F35" s="8">
        <v>0.6</v>
      </c>
      <c r="G35" s="9">
        <v>40.4</v>
      </c>
      <c r="H35" s="9">
        <v>4.7</v>
      </c>
      <c r="I35" s="9">
        <v>4.5999999999999996</v>
      </c>
      <c r="J35" s="9">
        <v>10.1</v>
      </c>
      <c r="K35" s="9">
        <v>13.5</v>
      </c>
      <c r="L35" s="9">
        <v>8.8000000000000007</v>
      </c>
      <c r="M35" s="9">
        <v>8.1</v>
      </c>
      <c r="N35" s="9">
        <v>13.6</v>
      </c>
      <c r="O35" s="9">
        <v>10.1</v>
      </c>
      <c r="P35" s="9">
        <v>4.3</v>
      </c>
      <c r="Q35" s="9">
        <v>13.6</v>
      </c>
      <c r="R35" s="9">
        <v>38</v>
      </c>
      <c r="S35" s="9">
        <v>10.199999999999999</v>
      </c>
      <c r="T35" s="9">
        <v>23.5</v>
      </c>
      <c r="U35" s="9">
        <v>21.8</v>
      </c>
      <c r="V35" s="9">
        <v>1.7</v>
      </c>
      <c r="W35" s="9">
        <v>11.9</v>
      </c>
      <c r="X35" s="9">
        <v>18.7</v>
      </c>
      <c r="Y35" s="9">
        <v>20.6</v>
      </c>
      <c r="Z35" s="9">
        <v>91.7</v>
      </c>
      <c r="AA35" s="1">
        <v>267</v>
      </c>
      <c r="AB35" s="1">
        <v>74.900000000000006</v>
      </c>
      <c r="AC35" s="1">
        <v>1.1000000000000001</v>
      </c>
      <c r="AD35" s="1">
        <v>4.2</v>
      </c>
      <c r="AE35" s="1">
        <v>31.2</v>
      </c>
      <c r="AF35" s="1">
        <v>10.1</v>
      </c>
      <c r="AG35" s="1">
        <v>28.9</v>
      </c>
      <c r="AH35" s="1">
        <v>83.3</v>
      </c>
      <c r="AI35" s="1">
        <v>155.4</v>
      </c>
      <c r="AJ35" s="1">
        <v>62.2</v>
      </c>
      <c r="AK35" s="1">
        <v>109.1</v>
      </c>
      <c r="AL35" s="1">
        <v>57.1</v>
      </c>
      <c r="AM35" s="1">
        <v>131.19999999999999</v>
      </c>
      <c r="AN35" s="1">
        <v>69</v>
      </c>
      <c r="AO35" s="1">
        <v>149.69999999999999</v>
      </c>
      <c r="AP35" s="1">
        <v>66</v>
      </c>
      <c r="AQ35" s="1">
        <v>75.5</v>
      </c>
      <c r="AR35" s="1">
        <v>72.900000000000006</v>
      </c>
      <c r="AS35" s="1">
        <v>66.8</v>
      </c>
      <c r="AT35" s="1">
        <v>0</v>
      </c>
      <c r="AU35">
        <v>2230.9</v>
      </c>
      <c r="AV35">
        <v>0</v>
      </c>
      <c r="AW35">
        <v>6</v>
      </c>
      <c r="AX35">
        <v>91.9</v>
      </c>
      <c r="AY35">
        <v>-1.2</v>
      </c>
      <c r="AZ35">
        <v>40.799999999999997</v>
      </c>
      <c r="BA35">
        <v>117.4</v>
      </c>
      <c r="BB35">
        <v>477.3</v>
      </c>
      <c r="BC35">
        <v>-536.4</v>
      </c>
      <c r="BD35" s="10">
        <f t="shared" si="0"/>
        <v>2426.7000000000007</v>
      </c>
      <c r="BE35" s="10">
        <f t="shared" si="1"/>
        <v>4332.4000000000005</v>
      </c>
    </row>
    <row r="36" spans="1:57" x14ac:dyDescent="0.3">
      <c r="A36" s="19" t="s">
        <v>88</v>
      </c>
      <c r="B36" s="8">
        <v>15.3</v>
      </c>
      <c r="C36" s="8">
        <v>0.2</v>
      </c>
      <c r="D36" s="8">
        <v>0.1</v>
      </c>
      <c r="E36" s="8">
        <v>1.2</v>
      </c>
      <c r="F36" s="8">
        <v>4.2</v>
      </c>
      <c r="G36" s="9">
        <v>105.4</v>
      </c>
      <c r="H36" s="9">
        <v>3.6</v>
      </c>
      <c r="I36" s="9">
        <v>2.5</v>
      </c>
      <c r="J36" s="9">
        <v>11.8</v>
      </c>
      <c r="K36" s="9">
        <v>7</v>
      </c>
      <c r="L36" s="9">
        <v>13.5</v>
      </c>
      <c r="M36" s="9">
        <v>12.8</v>
      </c>
      <c r="N36" s="9">
        <v>17.100000000000001</v>
      </c>
      <c r="O36" s="9">
        <v>13.6</v>
      </c>
      <c r="P36" s="9">
        <v>14.7</v>
      </c>
      <c r="Q36" s="9">
        <v>15.2</v>
      </c>
      <c r="R36" s="9">
        <v>378.3</v>
      </c>
      <c r="S36" s="9">
        <v>34.4</v>
      </c>
      <c r="T36" s="9">
        <v>24.7</v>
      </c>
      <c r="U36" s="9">
        <v>46.1</v>
      </c>
      <c r="V36" s="9">
        <v>2.2000000000000002</v>
      </c>
      <c r="W36" s="9">
        <v>13.2</v>
      </c>
      <c r="X36" s="9">
        <v>121</v>
      </c>
      <c r="Y36" s="9">
        <v>39.200000000000003</v>
      </c>
      <c r="Z36" s="9">
        <v>98.8</v>
      </c>
      <c r="AA36" s="1">
        <v>481.2</v>
      </c>
      <c r="AB36" s="1">
        <v>93.2</v>
      </c>
      <c r="AC36" s="1">
        <v>0.6</v>
      </c>
      <c r="AD36" s="1">
        <v>25.4</v>
      </c>
      <c r="AE36" s="1">
        <v>69.7</v>
      </c>
      <c r="AF36" s="1">
        <v>22.7</v>
      </c>
      <c r="AG36" s="1">
        <v>25</v>
      </c>
      <c r="AH36" s="1">
        <v>165.2</v>
      </c>
      <c r="AI36" s="1">
        <v>193.5</v>
      </c>
      <c r="AJ36" s="1">
        <v>404.3</v>
      </c>
      <c r="AK36" s="1">
        <v>455.7</v>
      </c>
      <c r="AL36" s="1">
        <v>93.2</v>
      </c>
      <c r="AM36" s="1">
        <v>180.4</v>
      </c>
      <c r="AN36" s="1">
        <v>73</v>
      </c>
      <c r="AO36" s="1">
        <v>244</v>
      </c>
      <c r="AP36" s="1">
        <v>55.7</v>
      </c>
      <c r="AQ36" s="1">
        <v>60.5</v>
      </c>
      <c r="AR36" s="1">
        <v>37.6</v>
      </c>
      <c r="AS36" s="1">
        <v>43.8</v>
      </c>
      <c r="AT36" s="1">
        <v>0</v>
      </c>
      <c r="AU36">
        <v>56.6</v>
      </c>
      <c r="AV36">
        <v>0</v>
      </c>
      <c r="AW36">
        <v>21.6</v>
      </c>
      <c r="AX36">
        <v>676.6</v>
      </c>
      <c r="AY36">
        <v>1.5</v>
      </c>
      <c r="AZ36">
        <v>2.1</v>
      </c>
      <c r="BA36">
        <v>4</v>
      </c>
      <c r="BB36">
        <v>1103.0999999999999</v>
      </c>
      <c r="BC36">
        <v>-2046</v>
      </c>
      <c r="BD36" s="10">
        <f t="shared" si="0"/>
        <v>-180.5</v>
      </c>
      <c r="BE36" s="10">
        <f t="shared" si="1"/>
        <v>3540.3000000000011</v>
      </c>
    </row>
    <row r="37" spans="1:57" x14ac:dyDescent="0.3">
      <c r="A37" s="19" t="s">
        <v>89</v>
      </c>
      <c r="B37" s="8">
        <v>209.2</v>
      </c>
      <c r="C37" s="8">
        <v>1.2</v>
      </c>
      <c r="D37" s="8">
        <v>1.3</v>
      </c>
      <c r="E37" s="8">
        <v>8.1999999999999993</v>
      </c>
      <c r="F37" s="8">
        <v>6.8</v>
      </c>
      <c r="G37" s="9">
        <v>133.1</v>
      </c>
      <c r="H37" s="9">
        <v>16.399999999999999</v>
      </c>
      <c r="I37" s="9">
        <v>16.2</v>
      </c>
      <c r="J37" s="9">
        <v>37.4</v>
      </c>
      <c r="K37" s="9">
        <v>65.8</v>
      </c>
      <c r="L37" s="9">
        <v>60.3</v>
      </c>
      <c r="M37" s="9">
        <v>57.7</v>
      </c>
      <c r="N37" s="9">
        <v>60.1</v>
      </c>
      <c r="O37" s="9">
        <v>36.4</v>
      </c>
      <c r="P37" s="9">
        <v>23.5</v>
      </c>
      <c r="Q37" s="9">
        <v>66.7</v>
      </c>
      <c r="R37" s="9">
        <v>104.4</v>
      </c>
      <c r="S37" s="9">
        <v>40</v>
      </c>
      <c r="T37" s="9">
        <v>56.8</v>
      </c>
      <c r="U37" s="9">
        <v>85.8</v>
      </c>
      <c r="V37" s="9">
        <v>5.6</v>
      </c>
      <c r="W37" s="9">
        <v>44.1</v>
      </c>
      <c r="X37" s="9">
        <v>134.5</v>
      </c>
      <c r="Y37" s="9">
        <v>55.7</v>
      </c>
      <c r="Z37" s="9">
        <v>415.4</v>
      </c>
      <c r="AA37" s="1">
        <v>983.6</v>
      </c>
      <c r="AB37" s="1">
        <v>199.4</v>
      </c>
      <c r="AC37" s="1">
        <v>5.5</v>
      </c>
      <c r="AD37" s="1">
        <v>36.5</v>
      </c>
      <c r="AE37" s="1">
        <v>156.4</v>
      </c>
      <c r="AF37" s="1">
        <v>13.1</v>
      </c>
      <c r="AG37" s="1">
        <v>161</v>
      </c>
      <c r="AH37" s="1">
        <v>35.6</v>
      </c>
      <c r="AI37" s="1">
        <v>59.7</v>
      </c>
      <c r="AJ37" s="1">
        <v>73.5</v>
      </c>
      <c r="AK37" s="1">
        <v>2029.1</v>
      </c>
      <c r="AL37" s="1">
        <v>1461.3</v>
      </c>
      <c r="AM37" s="1">
        <v>329.9</v>
      </c>
      <c r="AN37" s="1">
        <v>200.6</v>
      </c>
      <c r="AO37" s="1">
        <v>398.5</v>
      </c>
      <c r="AP37" s="1">
        <v>41.1</v>
      </c>
      <c r="AQ37" s="1">
        <v>78.2</v>
      </c>
      <c r="AR37" s="1">
        <v>38.5</v>
      </c>
      <c r="AS37" s="1">
        <v>109.3</v>
      </c>
      <c r="AT37" s="1">
        <v>0</v>
      </c>
      <c r="AU37">
        <v>3033.2</v>
      </c>
      <c r="AV37">
        <v>0</v>
      </c>
      <c r="AW37">
        <v>47.1</v>
      </c>
      <c r="AX37">
        <v>95</v>
      </c>
      <c r="AY37">
        <v>0.7</v>
      </c>
      <c r="AZ37">
        <v>36.799999999999997</v>
      </c>
      <c r="BA37">
        <v>112.4</v>
      </c>
      <c r="BB37">
        <v>337.4</v>
      </c>
      <c r="BC37">
        <v>-1492.4</v>
      </c>
      <c r="BD37" s="10">
        <f t="shared" si="0"/>
        <v>2170.1999999999998</v>
      </c>
      <c r="BE37" s="10">
        <f t="shared" si="1"/>
        <v>10323.6</v>
      </c>
    </row>
    <row r="38" spans="1:57" x14ac:dyDescent="0.3">
      <c r="A38" s="19" t="s">
        <v>90</v>
      </c>
      <c r="B38" s="8">
        <v>41.8</v>
      </c>
      <c r="C38" s="8">
        <v>0.5</v>
      </c>
      <c r="D38" s="8">
        <v>1.6</v>
      </c>
      <c r="E38" s="8">
        <v>3</v>
      </c>
      <c r="F38" s="8">
        <v>0.6</v>
      </c>
      <c r="G38" s="9">
        <v>122.6</v>
      </c>
      <c r="H38" s="9">
        <v>10.7</v>
      </c>
      <c r="I38" s="9">
        <v>11.1</v>
      </c>
      <c r="J38" s="9">
        <v>29.7</v>
      </c>
      <c r="K38" s="9">
        <v>17.899999999999999</v>
      </c>
      <c r="L38" s="9">
        <v>26.5</v>
      </c>
      <c r="M38" s="9">
        <v>19.600000000000001</v>
      </c>
      <c r="N38" s="9">
        <v>57.6</v>
      </c>
      <c r="O38" s="9">
        <v>23.8</v>
      </c>
      <c r="P38" s="9">
        <v>16.8</v>
      </c>
      <c r="Q38" s="9">
        <v>41.2</v>
      </c>
      <c r="R38" s="9">
        <v>114.1</v>
      </c>
      <c r="S38" s="9">
        <v>29</v>
      </c>
      <c r="T38" s="9">
        <v>61.2</v>
      </c>
      <c r="U38" s="9">
        <v>78.3</v>
      </c>
      <c r="V38" s="9">
        <v>7.4</v>
      </c>
      <c r="W38" s="9">
        <v>28.9</v>
      </c>
      <c r="X38" s="9">
        <v>141.69999999999999</v>
      </c>
      <c r="Y38" s="9">
        <v>89.8</v>
      </c>
      <c r="Z38" s="9">
        <v>268.39999999999998</v>
      </c>
      <c r="AA38" s="1">
        <v>1047.4000000000001</v>
      </c>
      <c r="AB38" s="1">
        <v>137.30000000000001</v>
      </c>
      <c r="AC38" s="1">
        <v>8</v>
      </c>
      <c r="AD38" s="1">
        <v>23.6</v>
      </c>
      <c r="AE38" s="1">
        <v>111.6</v>
      </c>
      <c r="AF38" s="1">
        <v>6.8</v>
      </c>
      <c r="AG38" s="1">
        <v>178.4</v>
      </c>
      <c r="AH38" s="1">
        <v>78.400000000000006</v>
      </c>
      <c r="AI38" s="1">
        <v>103.3</v>
      </c>
      <c r="AJ38" s="1">
        <v>115.1</v>
      </c>
      <c r="AK38" s="1">
        <v>201.8</v>
      </c>
      <c r="AL38" s="1">
        <v>245.8</v>
      </c>
      <c r="AM38" s="1">
        <v>337</v>
      </c>
      <c r="AN38" s="1">
        <v>171.4</v>
      </c>
      <c r="AO38" s="1">
        <v>294.8</v>
      </c>
      <c r="AP38" s="1">
        <v>146.19999999999999</v>
      </c>
      <c r="AQ38" s="1">
        <v>154.69999999999999</v>
      </c>
      <c r="AR38" s="1">
        <v>141.6</v>
      </c>
      <c r="AS38" s="1">
        <v>169.8</v>
      </c>
      <c r="AT38" s="1">
        <v>0</v>
      </c>
      <c r="AU38">
        <v>8877.7999999999993</v>
      </c>
      <c r="AV38">
        <v>0.5</v>
      </c>
      <c r="AW38">
        <v>238.2</v>
      </c>
      <c r="AX38">
        <v>811.6</v>
      </c>
      <c r="AY38">
        <v>-0.7</v>
      </c>
      <c r="AZ38">
        <v>111.8</v>
      </c>
      <c r="BA38">
        <v>335.9</v>
      </c>
      <c r="BB38">
        <v>163.9</v>
      </c>
      <c r="BC38">
        <v>-458</v>
      </c>
      <c r="BD38" s="10">
        <f t="shared" si="0"/>
        <v>10080.999999999998</v>
      </c>
      <c r="BE38" s="10">
        <f t="shared" si="1"/>
        <v>14997.8</v>
      </c>
    </row>
    <row r="39" spans="1:57" x14ac:dyDescent="0.3">
      <c r="A39" s="19" t="s">
        <v>91</v>
      </c>
      <c r="B39" s="8">
        <v>64.900000000000006</v>
      </c>
      <c r="C39" s="8">
        <v>1.1000000000000001</v>
      </c>
      <c r="D39" s="8">
        <v>3.5</v>
      </c>
      <c r="E39" s="8">
        <v>35.6</v>
      </c>
      <c r="F39" s="8">
        <v>36.5</v>
      </c>
      <c r="G39" s="9">
        <v>373.1</v>
      </c>
      <c r="H39" s="9">
        <v>20.5</v>
      </c>
      <c r="I39" s="9">
        <v>14.7</v>
      </c>
      <c r="J39" s="9">
        <v>39.799999999999997</v>
      </c>
      <c r="K39" s="9">
        <v>73</v>
      </c>
      <c r="L39" s="9">
        <v>57.2</v>
      </c>
      <c r="M39" s="9">
        <v>146.69999999999999</v>
      </c>
      <c r="N39" s="9">
        <v>91</v>
      </c>
      <c r="O39" s="9">
        <v>72.400000000000006</v>
      </c>
      <c r="P39" s="9">
        <v>21.9</v>
      </c>
      <c r="Q39" s="9">
        <v>74.400000000000006</v>
      </c>
      <c r="R39" s="9">
        <v>382</v>
      </c>
      <c r="S39" s="9">
        <v>88.9</v>
      </c>
      <c r="T39" s="9">
        <v>108.8</v>
      </c>
      <c r="U39" s="9">
        <v>579.20000000000005</v>
      </c>
      <c r="V39" s="9">
        <v>14</v>
      </c>
      <c r="W39" s="9">
        <v>78.2</v>
      </c>
      <c r="X39" s="9">
        <v>441.2</v>
      </c>
      <c r="Y39" s="9">
        <v>73</v>
      </c>
      <c r="Z39" s="9">
        <v>597.79999999999995</v>
      </c>
      <c r="AA39" s="1">
        <v>1840.3</v>
      </c>
      <c r="AB39" s="1">
        <v>107.5</v>
      </c>
      <c r="AC39" s="1">
        <v>29.9</v>
      </c>
      <c r="AD39" s="1">
        <v>33.4</v>
      </c>
      <c r="AE39" s="1">
        <v>136.5</v>
      </c>
      <c r="AF39" s="1">
        <v>10.3</v>
      </c>
      <c r="AG39" s="1">
        <v>97.7</v>
      </c>
      <c r="AH39" s="1">
        <v>107.5</v>
      </c>
      <c r="AI39" s="1">
        <v>248</v>
      </c>
      <c r="AJ39" s="1">
        <v>194.3</v>
      </c>
      <c r="AK39" s="1">
        <v>346.6</v>
      </c>
      <c r="AL39" s="1">
        <v>578.4</v>
      </c>
      <c r="AM39" s="1">
        <v>1200.3</v>
      </c>
      <c r="AN39" s="1">
        <v>357.3</v>
      </c>
      <c r="AO39" s="1">
        <v>190.5</v>
      </c>
      <c r="AP39" s="1">
        <v>64.400000000000006</v>
      </c>
      <c r="AQ39" s="1">
        <v>108.6</v>
      </c>
      <c r="AR39" s="1">
        <v>116.5</v>
      </c>
      <c r="AS39" s="1">
        <v>93.2</v>
      </c>
      <c r="AT39" s="1">
        <v>0</v>
      </c>
      <c r="AU39">
        <v>129.30000000000001</v>
      </c>
      <c r="AV39">
        <v>1.4</v>
      </c>
      <c r="AW39">
        <v>204.9</v>
      </c>
      <c r="AX39">
        <v>1157.2</v>
      </c>
      <c r="AY39">
        <v>-8.5</v>
      </c>
      <c r="AZ39">
        <v>18.3</v>
      </c>
      <c r="BA39">
        <v>48.8</v>
      </c>
      <c r="BB39">
        <v>2450.1999999999998</v>
      </c>
      <c r="BC39">
        <v>-2825.2</v>
      </c>
      <c r="BD39" s="10">
        <f t="shared" si="0"/>
        <v>1176.4000000000001</v>
      </c>
      <c r="BE39" s="10">
        <f t="shared" si="1"/>
        <v>10526.999999999996</v>
      </c>
    </row>
    <row r="40" spans="1:57" x14ac:dyDescent="0.3">
      <c r="A40" s="19" t="s">
        <v>92</v>
      </c>
      <c r="B40" s="8">
        <v>34.1</v>
      </c>
      <c r="C40" s="8">
        <v>0.7</v>
      </c>
      <c r="D40" s="8">
        <v>1.8</v>
      </c>
      <c r="E40" s="8">
        <v>4.4000000000000004</v>
      </c>
      <c r="F40" s="8">
        <v>6.5</v>
      </c>
      <c r="G40" s="9">
        <v>217.4</v>
      </c>
      <c r="H40" s="9">
        <v>21.2</v>
      </c>
      <c r="I40" s="9">
        <v>13.7</v>
      </c>
      <c r="J40" s="9">
        <v>62.2</v>
      </c>
      <c r="K40" s="9">
        <v>26.5</v>
      </c>
      <c r="L40" s="9">
        <v>44.5</v>
      </c>
      <c r="M40" s="9">
        <v>143</v>
      </c>
      <c r="N40" s="9">
        <v>67.400000000000006</v>
      </c>
      <c r="O40" s="9">
        <v>60.6</v>
      </c>
      <c r="P40" s="9">
        <v>34.799999999999997</v>
      </c>
      <c r="Q40" s="9">
        <v>78.8</v>
      </c>
      <c r="R40" s="9">
        <v>542.79999999999995</v>
      </c>
      <c r="S40" s="9">
        <v>96.1</v>
      </c>
      <c r="T40" s="9">
        <v>130.30000000000001</v>
      </c>
      <c r="U40" s="9">
        <v>190.1</v>
      </c>
      <c r="V40" s="9">
        <v>11.3</v>
      </c>
      <c r="W40" s="9">
        <v>51.9</v>
      </c>
      <c r="X40" s="9">
        <v>203.8</v>
      </c>
      <c r="Y40" s="9">
        <v>49.9</v>
      </c>
      <c r="Z40" s="9">
        <v>284.8</v>
      </c>
      <c r="AA40" s="1">
        <v>942.3</v>
      </c>
      <c r="AB40" s="1">
        <v>189.5</v>
      </c>
      <c r="AC40" s="1">
        <v>7.1</v>
      </c>
      <c r="AD40" s="1">
        <v>128.6</v>
      </c>
      <c r="AE40" s="1">
        <v>67.900000000000006</v>
      </c>
      <c r="AF40" s="1">
        <v>13.6</v>
      </c>
      <c r="AG40" s="1">
        <v>92.3</v>
      </c>
      <c r="AH40" s="1">
        <v>37.5</v>
      </c>
      <c r="AI40" s="1">
        <v>133.80000000000001</v>
      </c>
      <c r="AJ40" s="1">
        <v>114.8</v>
      </c>
      <c r="AK40" s="1">
        <v>403.4</v>
      </c>
      <c r="AL40" s="1">
        <v>285.8</v>
      </c>
      <c r="AM40" s="1">
        <v>285.89999999999998</v>
      </c>
      <c r="AN40" s="1">
        <v>256.5</v>
      </c>
      <c r="AO40" s="1">
        <v>147.69999999999999</v>
      </c>
      <c r="AP40" s="1">
        <v>71.400000000000006</v>
      </c>
      <c r="AQ40" s="1">
        <v>128.19999999999999</v>
      </c>
      <c r="AR40" s="1">
        <v>132.69999999999999</v>
      </c>
      <c r="AS40" s="1">
        <v>61</v>
      </c>
      <c r="AT40" s="1">
        <v>0</v>
      </c>
      <c r="AU40">
        <v>401.4</v>
      </c>
      <c r="AV40">
        <v>0.2</v>
      </c>
      <c r="AW40">
        <v>97.6</v>
      </c>
      <c r="AX40">
        <v>155.9</v>
      </c>
      <c r="AY40">
        <v>4.5</v>
      </c>
      <c r="AZ40">
        <v>31.8</v>
      </c>
      <c r="BA40">
        <v>68.2</v>
      </c>
      <c r="BB40">
        <v>1719.6</v>
      </c>
      <c r="BC40">
        <v>-1882.4</v>
      </c>
      <c r="BD40" s="10">
        <f t="shared" si="0"/>
        <v>596.79999999999973</v>
      </c>
      <c r="BE40" s="10">
        <f t="shared" si="1"/>
        <v>6475.3999999999978</v>
      </c>
    </row>
    <row r="41" spans="1:57" x14ac:dyDescent="0.3">
      <c r="A41" s="19" t="s">
        <v>93</v>
      </c>
      <c r="B41" s="8">
        <v>39.200000000000003</v>
      </c>
      <c r="C41" s="8">
        <v>0.5</v>
      </c>
      <c r="D41" s="8">
        <v>0.6</v>
      </c>
      <c r="E41" s="8">
        <v>2.2000000000000002</v>
      </c>
      <c r="F41" s="8">
        <v>3</v>
      </c>
      <c r="G41" s="9">
        <v>38.5</v>
      </c>
      <c r="H41" s="9">
        <v>2.6</v>
      </c>
      <c r="I41" s="9">
        <v>1.7</v>
      </c>
      <c r="J41" s="9">
        <v>5.2</v>
      </c>
      <c r="K41" s="9">
        <v>7.8</v>
      </c>
      <c r="L41" s="9">
        <v>5.7</v>
      </c>
      <c r="M41" s="9">
        <v>4.4000000000000004</v>
      </c>
      <c r="N41" s="9">
        <v>8</v>
      </c>
      <c r="O41" s="9">
        <v>5.5</v>
      </c>
      <c r="P41" s="9">
        <v>2.9</v>
      </c>
      <c r="Q41" s="9">
        <v>7.5</v>
      </c>
      <c r="R41" s="9">
        <v>34.1</v>
      </c>
      <c r="S41" s="9">
        <v>6.3</v>
      </c>
      <c r="T41" s="9">
        <v>9.6999999999999993</v>
      </c>
      <c r="U41" s="9">
        <v>22.6</v>
      </c>
      <c r="V41" s="9">
        <v>1.3</v>
      </c>
      <c r="W41" s="9">
        <v>5.3</v>
      </c>
      <c r="X41" s="9">
        <v>33.6</v>
      </c>
      <c r="Y41" s="9">
        <v>41.4</v>
      </c>
      <c r="Z41" s="9">
        <v>41.4</v>
      </c>
      <c r="AA41" s="1">
        <v>205.5</v>
      </c>
      <c r="AB41" s="1">
        <v>98.2</v>
      </c>
      <c r="AC41" s="1">
        <v>4.2</v>
      </c>
      <c r="AD41" s="1">
        <v>23</v>
      </c>
      <c r="AE41" s="1">
        <v>35.700000000000003</v>
      </c>
      <c r="AF41" s="1">
        <v>2.6</v>
      </c>
      <c r="AG41" s="1">
        <v>23.3</v>
      </c>
      <c r="AH41" s="1">
        <v>11</v>
      </c>
      <c r="AI41" s="1">
        <v>90.2</v>
      </c>
      <c r="AJ41" s="1">
        <v>17.2</v>
      </c>
      <c r="AK41" s="1">
        <v>91.5</v>
      </c>
      <c r="AL41" s="1">
        <v>45.3</v>
      </c>
      <c r="AM41" s="1">
        <v>66.3</v>
      </c>
      <c r="AN41" s="1">
        <v>32.299999999999997</v>
      </c>
      <c r="AO41" s="1">
        <v>280.60000000000002</v>
      </c>
      <c r="AP41" s="1">
        <v>14.4</v>
      </c>
      <c r="AQ41" s="1">
        <v>9.4</v>
      </c>
      <c r="AR41" s="1">
        <v>33.5</v>
      </c>
      <c r="AS41" s="1">
        <v>41.7</v>
      </c>
      <c r="AT41" s="1">
        <v>0</v>
      </c>
      <c r="AU41">
        <v>163.9</v>
      </c>
      <c r="AV41">
        <v>0.3</v>
      </c>
      <c r="AW41">
        <v>12136.2</v>
      </c>
      <c r="AX41">
        <v>16.8</v>
      </c>
      <c r="AY41">
        <v>0.2</v>
      </c>
      <c r="AZ41">
        <v>5.5</v>
      </c>
      <c r="BA41">
        <v>0</v>
      </c>
      <c r="BB41">
        <v>63.3</v>
      </c>
      <c r="BC41">
        <v>-89.4</v>
      </c>
      <c r="BD41" s="10">
        <f t="shared" si="0"/>
        <v>12296.800000000001</v>
      </c>
      <c r="BE41" s="10">
        <f t="shared" si="1"/>
        <v>13753.7</v>
      </c>
    </row>
    <row r="42" spans="1:57" x14ac:dyDescent="0.3">
      <c r="A42" s="19" t="s">
        <v>94</v>
      </c>
      <c r="B42" s="8">
        <v>4.3</v>
      </c>
      <c r="C42" s="8">
        <v>0</v>
      </c>
      <c r="D42" s="8">
        <v>0.1</v>
      </c>
      <c r="E42" s="8">
        <v>0.1</v>
      </c>
      <c r="F42" s="8">
        <v>0.3</v>
      </c>
      <c r="G42" s="9">
        <v>10.1</v>
      </c>
      <c r="H42" s="9">
        <v>0.9</v>
      </c>
      <c r="I42" s="9">
        <v>0.9</v>
      </c>
      <c r="J42" s="9">
        <v>2.7</v>
      </c>
      <c r="K42" s="9">
        <v>2.2000000000000002</v>
      </c>
      <c r="L42" s="9">
        <v>2.4</v>
      </c>
      <c r="M42" s="9">
        <v>6.1</v>
      </c>
      <c r="N42" s="9">
        <v>6.8</v>
      </c>
      <c r="O42" s="9">
        <v>2.7</v>
      </c>
      <c r="P42" s="9">
        <v>1.7</v>
      </c>
      <c r="Q42" s="9">
        <v>2.9</v>
      </c>
      <c r="R42" s="9">
        <v>10.9</v>
      </c>
      <c r="S42" s="9">
        <v>3.4</v>
      </c>
      <c r="T42" s="9">
        <v>8.1999999999999993</v>
      </c>
      <c r="U42" s="9">
        <v>9.5</v>
      </c>
      <c r="V42" s="9">
        <v>1.1000000000000001</v>
      </c>
      <c r="W42" s="9">
        <v>2.6</v>
      </c>
      <c r="X42" s="9">
        <v>6.5</v>
      </c>
      <c r="Y42" s="9">
        <v>4.5</v>
      </c>
      <c r="Z42" s="9">
        <v>14.1</v>
      </c>
      <c r="AA42" s="1">
        <v>76.599999999999994</v>
      </c>
      <c r="AB42" s="1">
        <v>6</v>
      </c>
      <c r="AC42" s="1">
        <v>0.1</v>
      </c>
      <c r="AD42" s="1">
        <v>3.3</v>
      </c>
      <c r="AE42" s="1">
        <v>8.6999999999999993</v>
      </c>
      <c r="AF42" s="1">
        <v>2.2999999999999998</v>
      </c>
      <c r="AG42" s="1">
        <v>6</v>
      </c>
      <c r="AH42" s="1">
        <v>3.3</v>
      </c>
      <c r="AI42" s="1">
        <v>10.3</v>
      </c>
      <c r="AJ42" s="1">
        <v>13.7</v>
      </c>
      <c r="AK42" s="1">
        <v>34.200000000000003</v>
      </c>
      <c r="AL42" s="1">
        <v>9.6</v>
      </c>
      <c r="AM42" s="1">
        <v>33.1</v>
      </c>
      <c r="AN42" s="1">
        <v>16.399999999999999</v>
      </c>
      <c r="AO42" s="1">
        <v>38.299999999999997</v>
      </c>
      <c r="AP42" s="1">
        <v>221.7</v>
      </c>
      <c r="AQ42" s="1">
        <v>10.4</v>
      </c>
      <c r="AR42" s="1">
        <v>1.9</v>
      </c>
      <c r="AS42" s="1">
        <v>17</v>
      </c>
      <c r="AT42" s="1">
        <v>0</v>
      </c>
      <c r="AU42">
        <v>889.7</v>
      </c>
      <c r="AV42">
        <v>467.3</v>
      </c>
      <c r="AW42">
        <v>5009.5</v>
      </c>
      <c r="AX42">
        <v>25.8</v>
      </c>
      <c r="AY42">
        <v>0</v>
      </c>
      <c r="AZ42">
        <v>120.5</v>
      </c>
      <c r="BA42">
        <v>121.8</v>
      </c>
      <c r="BB42">
        <v>3.2</v>
      </c>
      <c r="BC42">
        <v>-185.7</v>
      </c>
      <c r="BD42" s="10">
        <f t="shared" si="0"/>
        <v>6452.1</v>
      </c>
      <c r="BE42" s="10">
        <f t="shared" si="1"/>
        <v>7070</v>
      </c>
    </row>
    <row r="43" spans="1:57" x14ac:dyDescent="0.3">
      <c r="A43" s="19" t="s">
        <v>95</v>
      </c>
      <c r="B43" s="8">
        <v>1</v>
      </c>
      <c r="C43" s="8">
        <v>0.1</v>
      </c>
      <c r="D43" s="8">
        <v>0</v>
      </c>
      <c r="E43" s="8">
        <v>0.1</v>
      </c>
      <c r="F43" s="8">
        <v>0.1</v>
      </c>
      <c r="G43" s="9">
        <v>7.3</v>
      </c>
      <c r="H43" s="9">
        <v>1.6</v>
      </c>
      <c r="I43" s="9">
        <v>1</v>
      </c>
      <c r="J43" s="9">
        <v>1.6</v>
      </c>
      <c r="K43" s="9">
        <v>1.6</v>
      </c>
      <c r="L43" s="9">
        <v>2.8</v>
      </c>
      <c r="M43" s="9">
        <v>18.899999999999999</v>
      </c>
      <c r="N43" s="9">
        <v>2.8</v>
      </c>
      <c r="O43" s="9">
        <v>2</v>
      </c>
      <c r="P43" s="9">
        <v>2.4</v>
      </c>
      <c r="Q43" s="9">
        <v>2.6</v>
      </c>
      <c r="R43" s="9">
        <v>7.1</v>
      </c>
      <c r="S43" s="9">
        <v>1.9</v>
      </c>
      <c r="T43" s="9">
        <v>4.2</v>
      </c>
      <c r="U43" s="9">
        <v>5.6</v>
      </c>
      <c r="V43" s="9">
        <v>0.5</v>
      </c>
      <c r="W43" s="9">
        <v>4.3</v>
      </c>
      <c r="X43" s="9">
        <v>6.5</v>
      </c>
      <c r="Y43" s="9">
        <v>7.6</v>
      </c>
      <c r="Z43" s="9">
        <v>7.2</v>
      </c>
      <c r="AA43" s="1">
        <v>43.1</v>
      </c>
      <c r="AB43" s="1">
        <v>37.9</v>
      </c>
      <c r="AC43" s="1">
        <v>0.3</v>
      </c>
      <c r="AD43" s="1">
        <v>0.8</v>
      </c>
      <c r="AE43" s="1">
        <v>3.6</v>
      </c>
      <c r="AF43" s="1">
        <v>2.2000000000000002</v>
      </c>
      <c r="AG43" s="1">
        <v>13.1</v>
      </c>
      <c r="AH43" s="1">
        <v>1.2</v>
      </c>
      <c r="AI43" s="1">
        <v>1.1000000000000001</v>
      </c>
      <c r="AJ43" s="1">
        <v>2.6</v>
      </c>
      <c r="AK43" s="1">
        <v>6.4</v>
      </c>
      <c r="AL43" s="1">
        <v>4.2</v>
      </c>
      <c r="AM43" s="1">
        <v>6.9</v>
      </c>
      <c r="AN43" s="1">
        <v>11.8</v>
      </c>
      <c r="AO43" s="1">
        <v>2.2999999999999998</v>
      </c>
      <c r="AP43" s="1">
        <v>3.4</v>
      </c>
      <c r="AQ43" s="1">
        <v>410.5</v>
      </c>
      <c r="AR43" s="1">
        <v>5.0999999999999996</v>
      </c>
      <c r="AS43" s="1">
        <v>14.3</v>
      </c>
      <c r="AT43" s="1">
        <v>0</v>
      </c>
      <c r="AU43">
        <v>1440.8</v>
      </c>
      <c r="AV43">
        <v>405</v>
      </c>
      <c r="AW43">
        <v>5421.9</v>
      </c>
      <c r="AX43">
        <v>5.0999999999999996</v>
      </c>
      <c r="AY43">
        <v>0</v>
      </c>
      <c r="AZ43">
        <v>35.799999999999997</v>
      </c>
      <c r="BA43">
        <v>97</v>
      </c>
      <c r="BB43">
        <v>2.2999999999999998</v>
      </c>
      <c r="BC43">
        <v>-68.3</v>
      </c>
      <c r="BD43" s="10">
        <f t="shared" si="0"/>
        <v>7339.6</v>
      </c>
      <c r="BE43" s="10">
        <f t="shared" si="1"/>
        <v>8001.2</v>
      </c>
    </row>
    <row r="44" spans="1:57" x14ac:dyDescent="0.3">
      <c r="A44" s="19" t="s">
        <v>96</v>
      </c>
      <c r="B44" s="8">
        <v>2.5</v>
      </c>
      <c r="C44" s="8">
        <v>0</v>
      </c>
      <c r="D44" s="8">
        <v>0</v>
      </c>
      <c r="E44" s="8">
        <v>0.3</v>
      </c>
      <c r="F44" s="8">
        <v>0.1</v>
      </c>
      <c r="G44" s="9">
        <v>9.1</v>
      </c>
      <c r="H44" s="9">
        <v>1</v>
      </c>
      <c r="I44" s="9">
        <v>0.6</v>
      </c>
      <c r="J44" s="9">
        <v>1.9</v>
      </c>
      <c r="K44" s="9">
        <v>1.1000000000000001</v>
      </c>
      <c r="L44" s="9">
        <v>1.6</v>
      </c>
      <c r="M44" s="9">
        <v>3.2</v>
      </c>
      <c r="N44" s="9">
        <v>2.6</v>
      </c>
      <c r="O44" s="9">
        <v>1.3</v>
      </c>
      <c r="P44" s="9">
        <v>1</v>
      </c>
      <c r="Q44" s="9">
        <v>2.6</v>
      </c>
      <c r="R44" s="9">
        <v>10.199999999999999</v>
      </c>
      <c r="S44" s="9">
        <v>2.1</v>
      </c>
      <c r="T44" s="9">
        <v>3.3</v>
      </c>
      <c r="U44" s="9">
        <v>4.7</v>
      </c>
      <c r="V44" s="9">
        <v>0.3</v>
      </c>
      <c r="W44" s="9">
        <v>1.5</v>
      </c>
      <c r="X44" s="9">
        <v>3.2</v>
      </c>
      <c r="Y44" s="9">
        <v>2</v>
      </c>
      <c r="Z44" s="9">
        <v>11.1</v>
      </c>
      <c r="AA44" s="1">
        <v>32.4</v>
      </c>
      <c r="AB44" s="1">
        <v>6.6</v>
      </c>
      <c r="AC44" s="1">
        <v>0.1</v>
      </c>
      <c r="AD44" s="1">
        <v>0.7</v>
      </c>
      <c r="AE44" s="1">
        <v>10.5</v>
      </c>
      <c r="AF44" s="1">
        <v>0.6</v>
      </c>
      <c r="AG44" s="1">
        <v>6.8</v>
      </c>
      <c r="AH44" s="1">
        <v>24.6</v>
      </c>
      <c r="AI44" s="1">
        <v>3.9</v>
      </c>
      <c r="AJ44" s="1">
        <v>3.9</v>
      </c>
      <c r="AK44" s="1">
        <v>5.9</v>
      </c>
      <c r="AL44" s="1">
        <v>7.9</v>
      </c>
      <c r="AM44" s="1">
        <v>12.6</v>
      </c>
      <c r="AN44" s="1">
        <v>26.8</v>
      </c>
      <c r="AO44" s="1">
        <v>4.5999999999999996</v>
      </c>
      <c r="AP44" s="1">
        <v>1</v>
      </c>
      <c r="AQ44" s="1">
        <v>5.5</v>
      </c>
      <c r="AR44" s="1">
        <v>145</v>
      </c>
      <c r="AS44" s="1">
        <v>10</v>
      </c>
      <c r="AT44" s="1">
        <v>0</v>
      </c>
      <c r="AU44">
        <v>1326.7</v>
      </c>
      <c r="AV44">
        <v>197.5</v>
      </c>
      <c r="AW44">
        <v>800.7</v>
      </c>
      <c r="AX44">
        <v>8.5</v>
      </c>
      <c r="AY44">
        <v>0</v>
      </c>
      <c r="AZ44">
        <v>77.5</v>
      </c>
      <c r="BA44">
        <v>219</v>
      </c>
      <c r="BB44">
        <v>22.8</v>
      </c>
      <c r="BC44">
        <v>-340.3</v>
      </c>
      <c r="BD44" s="10">
        <f t="shared" si="0"/>
        <v>2312.4</v>
      </c>
      <c r="BE44" s="10">
        <f t="shared" si="1"/>
        <v>2689.1000000000004</v>
      </c>
    </row>
    <row r="45" spans="1:57" x14ac:dyDescent="0.3">
      <c r="A45" s="19" t="s">
        <v>97</v>
      </c>
      <c r="B45" s="8">
        <v>21.8</v>
      </c>
      <c r="C45" s="8">
        <v>0.2</v>
      </c>
      <c r="D45" s="8">
        <v>0.1</v>
      </c>
      <c r="E45" s="8">
        <v>0.5</v>
      </c>
      <c r="F45" s="8">
        <v>0.2</v>
      </c>
      <c r="G45" s="9">
        <v>25.8</v>
      </c>
      <c r="H45" s="9">
        <v>2.4</v>
      </c>
      <c r="I45" s="9">
        <v>1.5</v>
      </c>
      <c r="J45" s="9">
        <v>4.8</v>
      </c>
      <c r="K45" s="9">
        <v>4.5</v>
      </c>
      <c r="L45" s="9">
        <v>5.4</v>
      </c>
      <c r="M45" s="9">
        <v>14.6</v>
      </c>
      <c r="N45" s="9">
        <v>4.9000000000000004</v>
      </c>
      <c r="O45" s="9">
        <v>3.9</v>
      </c>
      <c r="P45" s="9">
        <v>2.2999999999999998</v>
      </c>
      <c r="Q45" s="9">
        <v>5.0999999999999996</v>
      </c>
      <c r="R45" s="9">
        <v>21.9</v>
      </c>
      <c r="S45" s="9">
        <v>5.3</v>
      </c>
      <c r="T45" s="9">
        <v>8.9</v>
      </c>
      <c r="U45" s="9">
        <v>9.4</v>
      </c>
      <c r="V45" s="9">
        <v>0.8</v>
      </c>
      <c r="W45" s="9">
        <v>5.6</v>
      </c>
      <c r="X45" s="9">
        <v>26.5</v>
      </c>
      <c r="Y45" s="9">
        <v>17.7</v>
      </c>
      <c r="Z45" s="9">
        <v>32.700000000000003</v>
      </c>
      <c r="AA45" s="1">
        <v>144.5</v>
      </c>
      <c r="AB45" s="1">
        <v>15</v>
      </c>
      <c r="AC45" s="1">
        <v>0.5</v>
      </c>
      <c r="AD45" s="1">
        <v>4.0999999999999996</v>
      </c>
      <c r="AE45" s="1">
        <v>29.7</v>
      </c>
      <c r="AF45" s="1">
        <v>3.5</v>
      </c>
      <c r="AG45" s="1">
        <v>26.7</v>
      </c>
      <c r="AH45" s="1">
        <v>11.7</v>
      </c>
      <c r="AI45" s="1">
        <v>24.9</v>
      </c>
      <c r="AJ45" s="1">
        <v>34.700000000000003</v>
      </c>
      <c r="AK45" s="1">
        <v>45.8</v>
      </c>
      <c r="AL45" s="1">
        <v>66.599999999999994</v>
      </c>
      <c r="AM45" s="1">
        <v>64.2</v>
      </c>
      <c r="AN45" s="1">
        <v>40.5</v>
      </c>
      <c r="AO45" s="1">
        <v>41.2</v>
      </c>
      <c r="AP45" s="1">
        <v>20.9</v>
      </c>
      <c r="AQ45" s="1">
        <v>27.6</v>
      </c>
      <c r="AR45" s="1">
        <v>24.2</v>
      </c>
      <c r="AS45" s="1">
        <v>14.8</v>
      </c>
      <c r="AT45" s="1">
        <v>0</v>
      </c>
      <c r="AU45">
        <v>1570.2</v>
      </c>
      <c r="AV45">
        <v>892.9</v>
      </c>
      <c r="AW45">
        <v>52.3</v>
      </c>
      <c r="AX45">
        <v>9.3000000000000007</v>
      </c>
      <c r="AY45">
        <v>0.1</v>
      </c>
      <c r="AZ45">
        <v>39.5</v>
      </c>
      <c r="BA45">
        <v>90.7</v>
      </c>
      <c r="BB45">
        <v>34.4</v>
      </c>
      <c r="BC45">
        <v>-78.900000000000006</v>
      </c>
      <c r="BD45" s="10">
        <f t="shared" si="0"/>
        <v>2610.5</v>
      </c>
      <c r="BE45" s="10">
        <f t="shared" si="1"/>
        <v>3478.4000000000005</v>
      </c>
    </row>
    <row r="46" spans="1:57" x14ac:dyDescent="0.3">
      <c r="A46" s="19" t="s">
        <v>98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>
        <v>11.4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s="10">
        <f t="shared" si="0"/>
        <v>11.4</v>
      </c>
      <c r="BE46" s="10">
        <f t="shared" si="1"/>
        <v>11.4</v>
      </c>
    </row>
    <row r="47" spans="1:57" x14ac:dyDescent="0.3">
      <c r="A47" t="s">
        <v>99</v>
      </c>
      <c r="B47">
        <v>69.2</v>
      </c>
      <c r="C47">
        <v>0.3</v>
      </c>
      <c r="D47">
        <v>0.8</v>
      </c>
      <c r="E47">
        <v>3.6</v>
      </c>
      <c r="F47">
        <v>1.4</v>
      </c>
      <c r="G47">
        <v>71.2</v>
      </c>
      <c r="H47">
        <v>65.7</v>
      </c>
      <c r="I47">
        <v>6</v>
      </c>
      <c r="J47">
        <v>21.7</v>
      </c>
      <c r="K47">
        <v>528.70000000000005</v>
      </c>
      <c r="L47">
        <v>104.9</v>
      </c>
      <c r="M47">
        <v>22.8</v>
      </c>
      <c r="N47">
        <v>47.1</v>
      </c>
      <c r="O47">
        <v>29.7</v>
      </c>
      <c r="P47">
        <v>50.8</v>
      </c>
      <c r="Q47">
        <v>20.399999999999999</v>
      </c>
      <c r="R47">
        <v>263.5</v>
      </c>
      <c r="S47">
        <v>38.299999999999997</v>
      </c>
      <c r="T47">
        <v>29.5</v>
      </c>
      <c r="U47">
        <v>153.19999999999999</v>
      </c>
      <c r="V47">
        <v>8.8000000000000007</v>
      </c>
      <c r="W47">
        <v>30.1</v>
      </c>
      <c r="X47">
        <v>254.5</v>
      </c>
      <c r="Y47">
        <v>12.2</v>
      </c>
      <c r="Z47">
        <v>84.3</v>
      </c>
      <c r="AA47">
        <v>85.9</v>
      </c>
      <c r="AB47">
        <v>84.9</v>
      </c>
      <c r="AC47">
        <v>2.7</v>
      </c>
      <c r="AD47">
        <v>11.6</v>
      </c>
      <c r="AE47">
        <v>28.4</v>
      </c>
      <c r="AF47">
        <v>2</v>
      </c>
      <c r="AG47">
        <v>34.9</v>
      </c>
      <c r="AH47">
        <v>5.5</v>
      </c>
      <c r="AI47">
        <v>5.3</v>
      </c>
      <c r="AJ47">
        <v>3.4</v>
      </c>
      <c r="AK47">
        <v>6.2</v>
      </c>
      <c r="AL47">
        <v>22.2</v>
      </c>
      <c r="AM47">
        <v>22.7</v>
      </c>
      <c r="AN47">
        <v>15.6</v>
      </c>
      <c r="AO47">
        <v>24.4</v>
      </c>
      <c r="AP47">
        <v>19.899999999999999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145</v>
      </c>
      <c r="BA47">
        <v>0</v>
      </c>
      <c r="BB47">
        <v>0</v>
      </c>
      <c r="BC47">
        <v>-2439.1999999999998</v>
      </c>
    </row>
    <row r="48" spans="1:57" x14ac:dyDescent="0.3">
      <c r="A48" t="s">
        <v>100</v>
      </c>
      <c r="B48">
        <v>183.4</v>
      </c>
      <c r="C48">
        <v>1.4</v>
      </c>
      <c r="D48">
        <v>0.9</v>
      </c>
      <c r="E48">
        <v>6.1</v>
      </c>
      <c r="F48">
        <v>3</v>
      </c>
      <c r="G48">
        <v>165.7</v>
      </c>
      <c r="H48">
        <v>15.8</v>
      </c>
      <c r="I48">
        <v>14.8</v>
      </c>
      <c r="J48">
        <v>39.200000000000003</v>
      </c>
      <c r="K48">
        <v>38.299999999999997</v>
      </c>
      <c r="L48">
        <v>184.1</v>
      </c>
      <c r="M48">
        <v>43.2</v>
      </c>
      <c r="N48">
        <v>51.1</v>
      </c>
      <c r="O48">
        <v>51.4</v>
      </c>
      <c r="P48">
        <v>26.1</v>
      </c>
      <c r="Q48">
        <v>38.6</v>
      </c>
      <c r="R48">
        <v>137.80000000000001</v>
      </c>
      <c r="S48">
        <v>34.9</v>
      </c>
      <c r="T48">
        <v>63.5</v>
      </c>
      <c r="U48">
        <v>136.80000000000001</v>
      </c>
      <c r="V48">
        <v>7.7</v>
      </c>
      <c r="W48">
        <v>35.799999999999997</v>
      </c>
      <c r="X48">
        <v>106.6</v>
      </c>
      <c r="Y48">
        <v>64</v>
      </c>
      <c r="Z48">
        <v>237.7</v>
      </c>
      <c r="AA48">
        <v>466.8</v>
      </c>
      <c r="AB48">
        <v>316.7</v>
      </c>
      <c r="AC48">
        <v>8.6</v>
      </c>
      <c r="AD48">
        <v>54.7</v>
      </c>
      <c r="AE48">
        <v>87.6</v>
      </c>
      <c r="AF48">
        <v>10.4</v>
      </c>
      <c r="AG48">
        <v>90.3</v>
      </c>
      <c r="AH48">
        <v>43.4</v>
      </c>
      <c r="AI48">
        <v>60</v>
      </c>
      <c r="AJ48">
        <v>42.9</v>
      </c>
      <c r="AK48">
        <v>116.9</v>
      </c>
      <c r="AL48">
        <v>134.80000000000001</v>
      </c>
      <c r="AM48">
        <v>151.30000000000001</v>
      </c>
      <c r="AN48">
        <v>82.8</v>
      </c>
      <c r="AO48">
        <v>138.69999999999999</v>
      </c>
      <c r="AP48">
        <v>58</v>
      </c>
      <c r="AQ48">
        <v>101</v>
      </c>
      <c r="AR48">
        <v>57.6</v>
      </c>
      <c r="AS48">
        <v>46.4</v>
      </c>
      <c r="AT48">
        <v>0</v>
      </c>
      <c r="AU48">
        <v>10337.6</v>
      </c>
      <c r="AV48">
        <v>20.6</v>
      </c>
      <c r="AW48">
        <v>305.89999999999998</v>
      </c>
      <c r="AX48">
        <v>1673</v>
      </c>
      <c r="AY48">
        <v>0</v>
      </c>
      <c r="AZ48">
        <v>0</v>
      </c>
      <c r="BA48">
        <v>422.7</v>
      </c>
      <c r="BB48">
        <v>2988.6</v>
      </c>
      <c r="BC48">
        <v>0</v>
      </c>
    </row>
    <row r="49" spans="1:57" x14ac:dyDescent="0.3">
      <c r="A49" t="s">
        <v>101</v>
      </c>
      <c r="B49">
        <v>6530</v>
      </c>
      <c r="C49">
        <v>28.9</v>
      </c>
      <c r="D49">
        <v>48.7</v>
      </c>
      <c r="E49">
        <v>195.7</v>
      </c>
      <c r="F49">
        <v>156.4</v>
      </c>
      <c r="G49">
        <v>9390.9</v>
      </c>
      <c r="H49">
        <v>1022.9</v>
      </c>
      <c r="I49">
        <v>721.7</v>
      </c>
      <c r="J49">
        <v>1818.6</v>
      </c>
      <c r="K49">
        <v>4610.7</v>
      </c>
      <c r="L49">
        <v>3133.9</v>
      </c>
      <c r="M49">
        <v>1745.4</v>
      </c>
      <c r="N49">
        <v>2917.4</v>
      </c>
      <c r="O49">
        <v>1792.9</v>
      </c>
      <c r="P49">
        <v>1909</v>
      </c>
      <c r="Q49">
        <v>2625.6</v>
      </c>
      <c r="R49">
        <v>16975</v>
      </c>
      <c r="S49">
        <v>3188.1</v>
      </c>
      <c r="T49">
        <v>3606.3</v>
      </c>
      <c r="U49">
        <v>11951</v>
      </c>
      <c r="V49">
        <v>327.10000000000002</v>
      </c>
      <c r="W49">
        <v>1796.2</v>
      </c>
      <c r="X49">
        <v>4779</v>
      </c>
      <c r="Y49">
        <v>1394.1</v>
      </c>
      <c r="Z49">
        <v>8885.6</v>
      </c>
      <c r="AA49">
        <v>14082.1</v>
      </c>
      <c r="AB49">
        <v>4553.3</v>
      </c>
      <c r="AC49">
        <v>159.6</v>
      </c>
      <c r="AD49">
        <v>986.3</v>
      </c>
      <c r="AE49">
        <v>1969.6</v>
      </c>
      <c r="AF49">
        <v>287.60000000000002</v>
      </c>
      <c r="AG49">
        <v>3219.3</v>
      </c>
      <c r="AH49">
        <v>1816.2</v>
      </c>
      <c r="AI49">
        <v>1697.9</v>
      </c>
      <c r="AJ49">
        <v>1425.8</v>
      </c>
      <c r="AK49">
        <v>4666.6000000000004</v>
      </c>
      <c r="AL49">
        <v>4981.8</v>
      </c>
      <c r="AM49">
        <v>4318.3</v>
      </c>
      <c r="AN49">
        <v>2761.5</v>
      </c>
      <c r="AO49">
        <v>3746.3</v>
      </c>
      <c r="AP49">
        <v>1647.1</v>
      </c>
      <c r="AQ49">
        <v>3292.9</v>
      </c>
      <c r="AR49">
        <v>1443.1</v>
      </c>
      <c r="AS49">
        <v>1381.3</v>
      </c>
      <c r="AT49">
        <v>0</v>
      </c>
      <c r="AU49">
        <v>65681.600000000006</v>
      </c>
      <c r="AV49">
        <v>1999.8</v>
      </c>
      <c r="AW49">
        <v>28850</v>
      </c>
      <c r="AX49">
        <v>29484.799999999999</v>
      </c>
      <c r="AY49">
        <v>-1081.5</v>
      </c>
      <c r="AZ49">
        <v>1954.8</v>
      </c>
      <c r="BA49">
        <v>4813.7</v>
      </c>
      <c r="BB49">
        <v>82542.600000000006</v>
      </c>
      <c r="BC49">
        <v>-82734.3</v>
      </c>
    </row>
    <row r="50" spans="1:57" x14ac:dyDescent="0.3">
      <c r="A50" t="s">
        <v>102</v>
      </c>
      <c r="B50">
        <v>4020.1</v>
      </c>
      <c r="C50">
        <v>18.899999999999999</v>
      </c>
      <c r="D50">
        <v>57.6</v>
      </c>
      <c r="E50">
        <v>128.19999999999999</v>
      </c>
      <c r="F50">
        <v>100</v>
      </c>
      <c r="G50">
        <v>2916</v>
      </c>
      <c r="H50">
        <v>586.20000000000005</v>
      </c>
      <c r="I50">
        <v>301.7</v>
      </c>
      <c r="J50">
        <v>711.4</v>
      </c>
      <c r="K50">
        <v>1449.2</v>
      </c>
      <c r="L50">
        <v>604.6</v>
      </c>
      <c r="M50">
        <v>1580.4</v>
      </c>
      <c r="N50">
        <v>1183.4000000000001</v>
      </c>
      <c r="O50">
        <v>859.3</v>
      </c>
      <c r="P50">
        <v>388.8</v>
      </c>
      <c r="Q50">
        <v>1462.4</v>
      </c>
      <c r="R50">
        <v>2016.2</v>
      </c>
      <c r="S50">
        <v>939.8</v>
      </c>
      <c r="T50">
        <v>2925.4</v>
      </c>
      <c r="U50">
        <v>3318.2</v>
      </c>
      <c r="V50">
        <v>153.9</v>
      </c>
      <c r="W50">
        <v>1240.3</v>
      </c>
      <c r="X50">
        <v>3351.9</v>
      </c>
      <c r="Y50">
        <v>1332.7</v>
      </c>
      <c r="Z50">
        <v>5433.5</v>
      </c>
      <c r="AA50">
        <v>10874</v>
      </c>
      <c r="AB50">
        <v>3305</v>
      </c>
      <c r="AC50">
        <v>15.4</v>
      </c>
      <c r="AD50">
        <v>174.6</v>
      </c>
      <c r="AE50">
        <v>2291.6999999999998</v>
      </c>
      <c r="AF50">
        <v>703</v>
      </c>
      <c r="AG50">
        <v>2181.9</v>
      </c>
      <c r="AH50">
        <v>1541.9</v>
      </c>
      <c r="AI50">
        <v>2634.6</v>
      </c>
      <c r="AJ50">
        <v>2114.5</v>
      </c>
      <c r="AK50">
        <v>5657</v>
      </c>
      <c r="AL50">
        <v>10016.1</v>
      </c>
      <c r="AM50">
        <v>6208.6</v>
      </c>
      <c r="AN50">
        <v>3713.8</v>
      </c>
      <c r="AO50">
        <v>10007.9</v>
      </c>
      <c r="AP50">
        <v>5423.1</v>
      </c>
      <c r="AQ50">
        <v>4655.3</v>
      </c>
      <c r="AR50">
        <v>1232.0999999999999</v>
      </c>
      <c r="AS50">
        <v>2084.4</v>
      </c>
      <c r="AT50">
        <v>11.4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7" x14ac:dyDescent="0.3">
      <c r="A51" t="s">
        <v>103</v>
      </c>
      <c r="B51">
        <v>10550.1</v>
      </c>
      <c r="C51">
        <v>47.7</v>
      </c>
      <c r="D51">
        <v>106.3</v>
      </c>
      <c r="E51">
        <v>324</v>
      </c>
      <c r="F51">
        <v>256.39999999999998</v>
      </c>
      <c r="G51">
        <v>12306.9</v>
      </c>
      <c r="H51">
        <v>1609.1</v>
      </c>
      <c r="I51">
        <v>1023.3</v>
      </c>
      <c r="J51">
        <v>2530</v>
      </c>
      <c r="K51">
        <v>6059.9</v>
      </c>
      <c r="L51">
        <v>3738.5</v>
      </c>
      <c r="M51">
        <v>3325.7</v>
      </c>
      <c r="N51">
        <v>4100.8</v>
      </c>
      <c r="O51">
        <v>2652.2</v>
      </c>
      <c r="P51">
        <v>2297.8000000000002</v>
      </c>
      <c r="Q51">
        <v>4087.9</v>
      </c>
      <c r="R51">
        <v>18991.2</v>
      </c>
      <c r="S51">
        <v>4128</v>
      </c>
      <c r="T51">
        <v>6531.7</v>
      </c>
      <c r="U51">
        <v>15269.2</v>
      </c>
      <c r="V51">
        <v>481</v>
      </c>
      <c r="W51">
        <v>3036.5</v>
      </c>
      <c r="X51">
        <v>8130.9</v>
      </c>
      <c r="Y51">
        <v>2726.7</v>
      </c>
      <c r="Z51">
        <v>14319.1</v>
      </c>
      <c r="AA51">
        <v>24956.2</v>
      </c>
      <c r="AB51">
        <v>7858.3</v>
      </c>
      <c r="AC51">
        <v>174.9</v>
      </c>
      <c r="AD51">
        <v>1160.9000000000001</v>
      </c>
      <c r="AE51">
        <v>4261.2</v>
      </c>
      <c r="AF51">
        <v>990.6</v>
      </c>
      <c r="AG51">
        <v>5401.2</v>
      </c>
      <c r="AH51">
        <v>3358.1</v>
      </c>
      <c r="AI51">
        <v>4332.5</v>
      </c>
      <c r="AJ51">
        <v>3540.3</v>
      </c>
      <c r="AK51">
        <v>10323.6</v>
      </c>
      <c r="AL51">
        <v>14997.9</v>
      </c>
      <c r="AM51">
        <v>10527</v>
      </c>
      <c r="AN51">
        <v>6475.3</v>
      </c>
      <c r="AO51">
        <v>13754.2</v>
      </c>
      <c r="AP51">
        <v>7070.2</v>
      </c>
      <c r="AQ51">
        <v>8001.1</v>
      </c>
      <c r="AR51">
        <v>2689.2</v>
      </c>
      <c r="AS51">
        <v>3478.2</v>
      </c>
      <c r="AT51">
        <v>11.4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3" spans="1:57" x14ac:dyDescent="0.3">
      <c r="BD53" s="13" t="s">
        <v>184</v>
      </c>
      <c r="BE53" s="13">
        <f>SUM(BE2:BE46)</f>
        <v>261992.30000000002</v>
      </c>
    </row>
    <row r="54" spans="1:57" x14ac:dyDescent="0.3">
      <c r="B54" s="48" t="s">
        <v>110</v>
      </c>
      <c r="C54" s="63"/>
      <c r="D54" s="63"/>
      <c r="E54" s="63"/>
      <c r="K54" s="48" t="s">
        <v>113</v>
      </c>
      <c r="L54" s="48"/>
      <c r="M54" s="48"/>
      <c r="N54" s="48"/>
      <c r="O54" s="48"/>
      <c r="P54" s="48"/>
      <c r="Q54" s="48"/>
      <c r="R54" s="48"/>
      <c r="S54" s="48"/>
      <c r="T54" s="48"/>
      <c r="U54" s="48"/>
    </row>
    <row r="55" spans="1:57" ht="15" customHeight="1" x14ac:dyDescent="0.3">
      <c r="B55" s="63"/>
      <c r="C55" s="63"/>
      <c r="D55" s="63"/>
      <c r="E55" s="63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</row>
    <row r="58" spans="1:57" x14ac:dyDescent="0.3">
      <c r="B58" s="18" t="s">
        <v>106</v>
      </c>
      <c r="C58" s="18" t="s">
        <v>107</v>
      </c>
      <c r="D58" s="18" t="s">
        <v>108</v>
      </c>
      <c r="E58" s="18" t="s">
        <v>109</v>
      </c>
      <c r="F58" s="14" t="s">
        <v>185</v>
      </c>
      <c r="K58" s="19" t="s">
        <v>106</v>
      </c>
      <c r="L58" s="19" t="s">
        <v>45</v>
      </c>
      <c r="M58" s="19" t="s">
        <v>46</v>
      </c>
      <c r="N58" s="19" t="s">
        <v>47</v>
      </c>
      <c r="O58" s="19" t="s">
        <v>48</v>
      </c>
      <c r="P58" s="19" t="s">
        <v>49</v>
      </c>
      <c r="Q58" s="19" t="s">
        <v>50</v>
      </c>
      <c r="R58" s="19" t="s">
        <v>51</v>
      </c>
      <c r="S58" s="19" t="s">
        <v>52</v>
      </c>
      <c r="T58" s="19" t="s">
        <v>53</v>
      </c>
      <c r="U58" s="19" t="s">
        <v>103</v>
      </c>
    </row>
    <row r="59" spans="1:57" x14ac:dyDescent="0.3">
      <c r="B59" s="18" t="s">
        <v>107</v>
      </c>
      <c r="C59" s="10">
        <f>SUM(B2:F6)</f>
        <v>2378.4000000000005</v>
      </c>
      <c r="D59" s="10">
        <f>SUM(G2:Z6)</f>
        <v>6836.3000000000029</v>
      </c>
      <c r="E59" s="10">
        <f>SUM(AA2:AT6)</f>
        <v>1145.0000000000002</v>
      </c>
      <c r="F59" s="10">
        <f>SUM(C59:E59)</f>
        <v>10359.700000000004</v>
      </c>
      <c r="K59" s="19" t="s">
        <v>111</v>
      </c>
      <c r="L59" s="11">
        <f>SUM(AU2:AU46)</f>
        <v>55343.799999999996</v>
      </c>
      <c r="M59" s="11">
        <f t="shared" ref="M59" si="2">SUM(AV2:AV46)</f>
        <v>1978.9</v>
      </c>
      <c r="N59" s="11">
        <f t="shared" ref="N59" si="3">SUM(AW2:AW46)</f>
        <v>28544.300000000003</v>
      </c>
      <c r="O59" s="11">
        <f t="shared" ref="O59" si="4">SUM(AX2:AX46)</f>
        <v>27811.5</v>
      </c>
      <c r="P59" s="11">
        <f t="shared" ref="P59" si="5">SUM(AY2:AY46)</f>
        <v>-1081.3999999999999</v>
      </c>
      <c r="Q59" s="11">
        <f t="shared" ref="Q59" si="6">SUM(AZ2:AZ46)</f>
        <v>1809.8999999999996</v>
      </c>
      <c r="R59" s="11">
        <f t="shared" ref="R59" si="7">SUM(BA2:BA46)</f>
        <v>4391.1000000000004</v>
      </c>
      <c r="S59" s="11">
        <f t="shared" ref="S59" si="8">SUM(BB2:BB46)</f>
        <v>79553.700000000012</v>
      </c>
      <c r="T59" s="11">
        <f t="shared" ref="T59" si="9">SUM(BC2:BC46)</f>
        <v>-80295.39999999998</v>
      </c>
      <c r="U59" s="11">
        <v>261992.30000000002</v>
      </c>
    </row>
    <row r="60" spans="1:57" x14ac:dyDescent="0.3">
      <c r="B60" s="18" t="s">
        <v>108</v>
      </c>
      <c r="C60" s="10">
        <f>SUM(B7:F26)</f>
        <v>2444.9999999999986</v>
      </c>
      <c r="D60" s="10">
        <f>SUM(G7:Z26)</f>
        <v>49410.900000000009</v>
      </c>
      <c r="E60" s="10">
        <f>SUM(AA7:AT26)</f>
        <v>15275.900000000001</v>
      </c>
      <c r="F60" s="10">
        <f t="shared" ref="F60:F61" si="10">SUM(C60:E60)</f>
        <v>67131.800000000017</v>
      </c>
      <c r="K60" s="19" t="s">
        <v>112</v>
      </c>
      <c r="L60" s="12">
        <f>L59/$U$59</f>
        <v>0.21124208612237838</v>
      </c>
      <c r="M60" s="12">
        <f t="shared" ref="M60:U60" si="11">M59/$U$59</f>
        <v>7.5532754206898449E-3</v>
      </c>
      <c r="N60" s="12">
        <f t="shared" si="11"/>
        <v>0.10895091191611357</v>
      </c>
      <c r="O60" s="12">
        <f t="shared" si="11"/>
        <v>0.10615388314847421</v>
      </c>
      <c r="P60" s="12">
        <f t="shared" si="11"/>
        <v>-4.1276022234241231E-3</v>
      </c>
      <c r="Q60" s="12">
        <f t="shared" si="11"/>
        <v>6.9082182949651554E-3</v>
      </c>
      <c r="R60" s="12">
        <f t="shared" si="11"/>
        <v>1.6760416241240677E-2</v>
      </c>
      <c r="S60" s="12">
        <f t="shared" si="11"/>
        <v>0.30364900037138498</v>
      </c>
      <c r="T60" s="12">
        <f t="shared" si="11"/>
        <v>-0.30647999960304168</v>
      </c>
      <c r="U60" s="12">
        <f t="shared" si="11"/>
        <v>1</v>
      </c>
    </row>
    <row r="61" spans="1:57" x14ac:dyDescent="0.3">
      <c r="B61" s="18" t="s">
        <v>109</v>
      </c>
      <c r="C61" s="10">
        <f>SUM(B27:F46)</f>
        <v>1865.5999999999981</v>
      </c>
      <c r="D61" s="10">
        <f>SUM(G27:Z46)</f>
        <v>25007.299999999996</v>
      </c>
      <c r="E61" s="10">
        <f>SUM(AA27:AT46)</f>
        <v>39571.499999999985</v>
      </c>
      <c r="F61" s="10">
        <f t="shared" si="10"/>
        <v>66444.39999999998</v>
      </c>
    </row>
    <row r="62" spans="1:57" x14ac:dyDescent="0.3">
      <c r="B62" s="14" t="s">
        <v>186</v>
      </c>
      <c r="C62" s="10">
        <f>SUM(C59:C61)</f>
        <v>6688.9999999999982</v>
      </c>
      <c r="D62" s="10">
        <f t="shared" ref="D62:E62" si="12">SUM(D59:D61)</f>
        <v>81254.5</v>
      </c>
      <c r="E62" s="10">
        <f t="shared" si="12"/>
        <v>55992.399999999987</v>
      </c>
      <c r="F62" s="10">
        <f>SUM(F59:F61)</f>
        <v>143935.90000000002</v>
      </c>
    </row>
    <row r="63" spans="1:57" x14ac:dyDescent="0.3">
      <c r="K63" s="19" t="s">
        <v>114</v>
      </c>
      <c r="L63" s="11">
        <f>SUM(L59:N59)</f>
        <v>85867</v>
      </c>
      <c r="M63" s="12">
        <f>L63/$L$67</f>
        <v>0.32774627345918156</v>
      </c>
    </row>
    <row r="64" spans="1:57" x14ac:dyDescent="0.3">
      <c r="K64" s="19" t="s">
        <v>115</v>
      </c>
      <c r="L64" s="11">
        <f>SUM(O59:Q59)</f>
        <v>28540</v>
      </c>
      <c r="M64" s="12">
        <f t="shared" ref="M64:M66" si="13">L64/$L$67</f>
        <v>0.10893449922001515</v>
      </c>
    </row>
    <row r="65" spans="11:13" x14ac:dyDescent="0.3">
      <c r="K65" s="19" t="s">
        <v>116</v>
      </c>
      <c r="L65" s="11">
        <f>SUM(R59:T59)</f>
        <v>3649.4000000000378</v>
      </c>
      <c r="M65" s="12">
        <f t="shared" si="13"/>
        <v>1.3929417009584001E-2</v>
      </c>
    </row>
    <row r="66" spans="11:13" x14ac:dyDescent="0.3">
      <c r="K66" s="19" t="s">
        <v>117</v>
      </c>
      <c r="L66" s="11">
        <f>SUM(B2:AT46)</f>
        <v>143935.9000000002</v>
      </c>
      <c r="M66" s="12">
        <f t="shared" si="13"/>
        <v>0.54938981031121936</v>
      </c>
    </row>
    <row r="67" spans="11:13" ht="15" customHeight="1" x14ac:dyDescent="0.3">
      <c r="K67" s="20" t="s">
        <v>103</v>
      </c>
      <c r="L67" s="21">
        <f>SUM(L63:L66)</f>
        <v>261992.30000000022</v>
      </c>
      <c r="M67" s="22">
        <f>L67/L67</f>
        <v>1</v>
      </c>
    </row>
  </sheetData>
  <mergeCells count="2">
    <mergeCell ref="B54:E55"/>
    <mergeCell ref="K54:U55"/>
  </mergeCells>
  <conditionalFormatting sqref="C59:E61">
    <cfRule type="colorScale" priority="4">
      <colorScale>
        <cfvo type="min"/>
        <cfvo type="max"/>
        <color theme="0"/>
        <color theme="7" tint="-0.249977111117893"/>
      </colorScale>
    </cfRule>
  </conditionalFormatting>
  <conditionalFormatting sqref="BE2:BE46">
    <cfRule type="top10" dxfId="2" priority="1" bottom="1" rank="5"/>
    <cfRule type="top10" dxfId="1" priority="3" rank="5"/>
  </conditionalFormatting>
  <conditionalFormatting sqref="BH35">
    <cfRule type="top10" dxfId="0" priority="2" bottom="1" rank="5"/>
  </conditionalFormatting>
  <pageMargins left="0.7" right="0.7" top="0.75" bottom="0.75" header="0.3" footer="0.3"/>
  <ignoredErrors>
    <ignoredError sqref="BD2:BD3 BD4:BD46 L59 M59:T59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B7E1-CF98-4EF8-9669-52EB5203E456}">
  <dimension ref="A1:AT206"/>
  <sheetViews>
    <sheetView topLeftCell="A151" zoomScaleNormal="100" workbookViewId="0">
      <pane xSplit="1" topLeftCell="B1" activePane="topRight" state="frozen"/>
      <selection pane="topRight" activeCell="C212" sqref="C212"/>
    </sheetView>
  </sheetViews>
  <sheetFormatPr defaultRowHeight="14.4" x14ac:dyDescent="0.3"/>
  <cols>
    <col min="1" max="1" width="29.33203125" bestFit="1" customWidth="1"/>
  </cols>
  <sheetData>
    <row r="1" spans="1:46" x14ac:dyDescent="0.3">
      <c r="A1" s="14"/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</row>
    <row r="2" spans="1:46" x14ac:dyDescent="0.3">
      <c r="B2" s="70" t="s">
        <v>118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</row>
    <row r="3" spans="1:46" x14ac:dyDescent="0.3"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</row>
    <row r="5" spans="1:46" x14ac:dyDescent="0.3">
      <c r="A5" s="14"/>
      <c r="B5" s="14" t="s">
        <v>0</v>
      </c>
      <c r="C5" s="14" t="s">
        <v>1</v>
      </c>
      <c r="D5" s="14" t="s">
        <v>2</v>
      </c>
      <c r="E5" s="14" t="s">
        <v>3</v>
      </c>
      <c r="F5" s="14" t="s">
        <v>4</v>
      </c>
      <c r="G5" s="14" t="s">
        <v>5</v>
      </c>
      <c r="H5" s="14" t="s">
        <v>6</v>
      </c>
      <c r="I5" s="14" t="s">
        <v>7</v>
      </c>
      <c r="J5" s="14" t="s">
        <v>8</v>
      </c>
      <c r="K5" s="14" t="s">
        <v>9</v>
      </c>
      <c r="L5" s="14" t="s">
        <v>10</v>
      </c>
      <c r="M5" s="14" t="s">
        <v>11</v>
      </c>
      <c r="N5" s="14" t="s">
        <v>12</v>
      </c>
      <c r="O5" s="14" t="s">
        <v>13</v>
      </c>
      <c r="P5" s="14" t="s">
        <v>14</v>
      </c>
      <c r="Q5" s="14" t="s">
        <v>15</v>
      </c>
      <c r="R5" s="14" t="s">
        <v>16</v>
      </c>
      <c r="S5" s="14" t="s">
        <v>17</v>
      </c>
      <c r="T5" s="14" t="s">
        <v>18</v>
      </c>
      <c r="U5" s="14" t="s">
        <v>19</v>
      </c>
      <c r="V5" s="14" t="s">
        <v>20</v>
      </c>
      <c r="W5" s="14" t="s">
        <v>21</v>
      </c>
      <c r="X5" s="14" t="s">
        <v>22</v>
      </c>
      <c r="Y5" s="14" t="s">
        <v>23</v>
      </c>
      <c r="Z5" s="14" t="s">
        <v>24</v>
      </c>
      <c r="AA5" s="14" t="s">
        <v>25</v>
      </c>
      <c r="AB5" s="14" t="s">
        <v>26</v>
      </c>
      <c r="AC5" s="14" t="s">
        <v>27</v>
      </c>
      <c r="AD5" s="14" t="s">
        <v>28</v>
      </c>
      <c r="AE5" s="14" t="s">
        <v>29</v>
      </c>
      <c r="AF5" s="14" t="s">
        <v>30</v>
      </c>
      <c r="AG5" s="14" t="s">
        <v>31</v>
      </c>
      <c r="AH5" s="14" t="s">
        <v>32</v>
      </c>
      <c r="AI5" s="14" t="s">
        <v>33</v>
      </c>
      <c r="AJ5" s="14" t="s">
        <v>34</v>
      </c>
      <c r="AK5" s="14" t="s">
        <v>35</v>
      </c>
      <c r="AL5" s="14" t="s">
        <v>36</v>
      </c>
      <c r="AM5" s="14" t="s">
        <v>37</v>
      </c>
      <c r="AN5" s="14" t="s">
        <v>38</v>
      </c>
      <c r="AO5" s="14" t="s">
        <v>39</v>
      </c>
      <c r="AP5" s="14" t="s">
        <v>40</v>
      </c>
      <c r="AQ5" s="14" t="s">
        <v>41</v>
      </c>
      <c r="AR5" s="14" t="s">
        <v>42</v>
      </c>
      <c r="AS5" s="14" t="s">
        <v>43</v>
      </c>
      <c r="AT5" s="14" t="s">
        <v>44</v>
      </c>
    </row>
    <row r="6" spans="1:46" x14ac:dyDescent="0.3">
      <c r="A6" s="14" t="s">
        <v>54</v>
      </c>
      <c r="B6" s="4">
        <f>HUNGARY2009ttl!B2/HUNGARY2009ttl!$BE$2</f>
        <v>0.21383480881879016</v>
      </c>
      <c r="C6" s="4">
        <f>HUNGARY2009ttl!C2/HUNGARY2009ttl!$BE$3</f>
        <v>8.0338266384778007E-2</v>
      </c>
      <c r="D6" s="4">
        <f>HUNGARY2009ttl!D2/HUNGARY2009ttl!$BE$4</f>
        <v>9.398496240601577E-4</v>
      </c>
      <c r="E6" s="4">
        <f>HUNGARY2009ttl!E2/HUNGARY2009ttl!$BE$5</f>
        <v>1.5427337241592097E-3</v>
      </c>
      <c r="F6" s="4">
        <f>HUNGARY2009ttl!F2/HUNGARY2009ttl!$BE$6</f>
        <v>1.1691348402182386E-3</v>
      </c>
      <c r="G6" s="4">
        <f>HUNGARY2009ttl!G2/HUNGARY2009ttl!$BE$7</f>
        <v>0.24610996904226012</v>
      </c>
      <c r="H6" s="4">
        <f>HUNGARY2009ttl!H2/HUNGARY2009ttl!$BE$8</f>
        <v>6.650506557275157E-3</v>
      </c>
      <c r="I6" s="4">
        <f>HUNGARY2009ttl!I2/HUNGARY2009ttl!$BE$9</f>
        <v>7.3006254886630179E-2</v>
      </c>
      <c r="J6" s="4">
        <f>HUNGARY2009ttl!J2/HUNGARY2009ttl!$BE$10</f>
        <v>3.8339920948616607E-3</v>
      </c>
      <c r="K6" s="4">
        <f>HUNGARY2009ttl!K2/HUNGARY2009ttl!$BE$11</f>
        <v>2.0133342134794376E-3</v>
      </c>
      <c r="L6" s="4">
        <f>HUNGARY2009ttl!L2/HUNGARY2009ttl!$BE$12</f>
        <v>3.5576717312219147E-3</v>
      </c>
      <c r="M6" s="4">
        <f>HUNGARY2009ttl!M2/HUNGARY2009ttl!$BE$13</f>
        <v>6.4046666867125721E-3</v>
      </c>
      <c r="N6" s="4">
        <f>HUNGARY2009ttl!N2/HUNGARY2009ttl!$BE$14</f>
        <v>8.2167064904666697E-3</v>
      </c>
      <c r="O6" s="4">
        <f>HUNGARY2009ttl!O2/HUNGARY2009ttl!$BE$15</f>
        <v>2.6768209923088526E-3</v>
      </c>
      <c r="P6" s="4">
        <f>HUNGARY2009ttl!P2/HUNGARY2009ttl!$BE$16</f>
        <v>1.9583949865088338E-3</v>
      </c>
      <c r="Q6" s="4">
        <f>HUNGARY2009ttl!Q2/HUNGARY2009ttl!$BE$17</f>
        <v>1.7368330927860268E-3</v>
      </c>
      <c r="R6" s="4">
        <f>HUNGARY2009ttl!R2/HUNGARY2009ttl!$BE$18</f>
        <v>8.3195989742671634E-4</v>
      </c>
      <c r="S6" s="4">
        <f>HUNGARY2009ttl!S2/HUNGARY2009ttl!$BE$19</f>
        <v>1.3323320655991865E-3</v>
      </c>
      <c r="T6" s="4">
        <f>HUNGARY2009ttl!T2/HUNGARY2009ttl!$BE$20</f>
        <v>1.9137437420579627E-3</v>
      </c>
      <c r="U6" s="4">
        <f>HUNGARY2009ttl!U2/HUNGARY2009ttl!$BE$21</f>
        <v>1.4277106855630946E-3</v>
      </c>
      <c r="V6" s="4">
        <f>HUNGARY2009ttl!V2/HUNGARY2009ttl!$BE$22</f>
        <v>1.4568158168574402E-3</v>
      </c>
      <c r="W6" s="4">
        <f>HUNGARY2009ttl!W2/HUNGARY2009ttl!$BE$23</f>
        <v>4.9718481446116352E-3</v>
      </c>
      <c r="X6" s="4">
        <f>HUNGARY2009ttl!X2/HUNGARY2009ttl!$BE$24</f>
        <v>1.0479318106342946E-2</v>
      </c>
      <c r="Y6" s="4">
        <f>HUNGARY2009ttl!Y2/HUNGARY2009ttl!$BE$25</f>
        <v>3.2275811479919318E-3</v>
      </c>
      <c r="Z6" s="4">
        <f>HUNGARY2009ttl!Z2/HUNGARY2009ttl!$BE$26</f>
        <v>2.5839793281653744E-3</v>
      </c>
      <c r="AA6" s="4">
        <f>HUNGARY2009ttl!AA2/HUNGARY2009ttl!$BE$27</f>
        <v>1.3018965455062729E-2</v>
      </c>
      <c r="AB6" s="4">
        <f>HUNGARY2009ttl!AB2/HUNGARY2009ttl!$BE$28</f>
        <v>1.7179069530693267E-3</v>
      </c>
      <c r="AC6" s="4">
        <f>HUNGARY2009ttl!AC2/HUNGARY2009ttl!$BE$29</f>
        <v>2.8555111364934318E-3</v>
      </c>
      <c r="AD6" s="4">
        <f>HUNGARY2009ttl!AD2/HUNGARY2009ttl!$BE$30</f>
        <v>2.9282576866764272E-3</v>
      </c>
      <c r="AE6" s="4">
        <f>HUNGARY2009ttl!AE2/HUNGARY2009ttl!$BE$31</f>
        <v>3.2386003614090259E-3</v>
      </c>
      <c r="AF6" s="4">
        <f>HUNGARY2009ttl!AF2/HUNGARY2009ttl!$BE$32</f>
        <v>5.0469365095387106E-4</v>
      </c>
      <c r="AG6" s="4">
        <f>HUNGARY2009ttl!AG2/HUNGARY2009ttl!$BE$33</f>
        <v>1.7644553887171129E-2</v>
      </c>
      <c r="AH6" s="4">
        <f>HUNGARY2009ttl!AH2/HUNGARY2009ttl!$BE$34</f>
        <v>2.4122219244170464E-3</v>
      </c>
      <c r="AI6" s="4">
        <f>HUNGARY2009ttl!AI2/HUNGARY2009ttl!$BE$35</f>
        <v>1.26950420090481E-3</v>
      </c>
      <c r="AJ6" s="4">
        <f>HUNGARY2009ttl!AJ2/HUNGARY2009ttl!$BE$36</f>
        <v>7.3440103945993259E-4</v>
      </c>
      <c r="AK6" s="4">
        <f>HUNGARY2009ttl!AK2/HUNGARY2009ttl!$BE$37</f>
        <v>5.9087915068386989E-4</v>
      </c>
      <c r="AL6" s="4">
        <f>HUNGARY2009ttl!AL2/HUNGARY2009ttl!$BE$38</f>
        <v>1.0734907786475352E-3</v>
      </c>
      <c r="AM6" s="4">
        <f>HUNGARY2009ttl!AM2/HUNGARY2009ttl!$BE$39</f>
        <v>1.9378740381875183E-3</v>
      </c>
      <c r="AN6" s="4">
        <f>HUNGARY2009ttl!AN2/HUNGARY2009ttl!$BE$40</f>
        <v>3.0731692250671782E-3</v>
      </c>
      <c r="AO6" s="4">
        <f>HUNGARY2009ttl!AO2/HUNGARY2009ttl!$BE$41</f>
        <v>8.5068018060594592E-4</v>
      </c>
      <c r="AP6" s="4">
        <f>HUNGARY2009ttl!AP2/HUNGARY2009ttl!$BE$42</f>
        <v>6.6478076379066484E-4</v>
      </c>
      <c r="AQ6" s="4">
        <f>HUNGARY2009ttl!AQ2/HUNGARY2009ttl!$BE$43</f>
        <v>3.1245313203019549E-3</v>
      </c>
      <c r="AR6" s="4">
        <f>HUNGARY2009ttl!AR2/HUNGARY2009ttl!$BE$44</f>
        <v>1.7106094976014276E-3</v>
      </c>
      <c r="AS6" s="4">
        <f>HUNGARY2009ttl!AS2/HUNGARY2009ttl!$BE$45</f>
        <v>3.852345906163753E-3</v>
      </c>
      <c r="AT6" s="4">
        <f>HUNGARY2009ttl!AT2/HUNGARY2009ttl!$BE$46</f>
        <v>0</v>
      </c>
    </row>
    <row r="7" spans="1:46" x14ac:dyDescent="0.3">
      <c r="A7" s="14" t="s">
        <v>55</v>
      </c>
      <c r="B7" s="4">
        <f>HUNGARY2009ttl!B3/HUNGARY2009ttl!$BE$2</f>
        <v>1.3269890618187332E-4</v>
      </c>
      <c r="C7" s="4">
        <f>HUNGARY2009ttl!C3/HUNGARY2009ttl!$BE$3</f>
        <v>0.11205073995771669</v>
      </c>
      <c r="D7" s="4">
        <f>HUNGARY2009ttl!D3/HUNGARY2009ttl!$BE$4</f>
        <v>0</v>
      </c>
      <c r="E7" s="4">
        <f>HUNGARY2009ttl!E3/HUNGARY2009ttl!$BE$5</f>
        <v>0</v>
      </c>
      <c r="F7" s="4">
        <f>HUNGARY2009ttl!F3/HUNGARY2009ttl!$BE$6</f>
        <v>0</v>
      </c>
      <c r="G7" s="4">
        <f>HUNGARY2009ttl!G3/HUNGARY2009ttl!$BE$7</f>
        <v>1.8688399379220119E-4</v>
      </c>
      <c r="H7" s="4">
        <f>HUNGARY2009ttl!H3/HUNGARY2009ttl!$BE$8</f>
        <v>0</v>
      </c>
      <c r="I7" s="4">
        <f>HUNGARY2009ttl!I3/HUNGARY2009ttl!$BE$9</f>
        <v>0</v>
      </c>
      <c r="J7" s="4">
        <f>HUNGARY2009ttl!J3/HUNGARY2009ttl!$BE$10</f>
        <v>0</v>
      </c>
      <c r="K7" s="4">
        <f>HUNGARY2009ttl!K3/HUNGARY2009ttl!$BE$11</f>
        <v>1.6502739454749489E-5</v>
      </c>
      <c r="L7" s="4">
        <f>HUNGARY2009ttl!L3/HUNGARY2009ttl!$BE$12</f>
        <v>0</v>
      </c>
      <c r="M7" s="4">
        <f>HUNGARY2009ttl!M3/HUNGARY2009ttl!$BE$13</f>
        <v>0</v>
      </c>
      <c r="N7" s="4">
        <f>HUNGARY2009ttl!N3/HUNGARY2009ttl!$BE$14</f>
        <v>0</v>
      </c>
      <c r="O7" s="4">
        <f>HUNGARY2009ttl!O3/HUNGARY2009ttl!$BE$15</f>
        <v>0</v>
      </c>
      <c r="P7" s="4">
        <f>HUNGARY2009ttl!P3/HUNGARY2009ttl!$BE$16</f>
        <v>0</v>
      </c>
      <c r="Q7" s="4">
        <f>HUNGARY2009ttl!Q3/HUNGARY2009ttl!$BE$17</f>
        <v>0</v>
      </c>
      <c r="R7" s="4">
        <f>HUNGARY2009ttl!R3/HUNGARY2009ttl!$BE$18</f>
        <v>5.2655689710551666E-6</v>
      </c>
      <c r="S7" s="4">
        <f>HUNGARY2009ttl!S3/HUNGARY2009ttl!$BE$19</f>
        <v>0</v>
      </c>
      <c r="T7" s="4">
        <f>HUNGARY2009ttl!T3/HUNGARY2009ttl!$BE$20</f>
        <v>0</v>
      </c>
      <c r="U7" s="4">
        <f>HUNGARY2009ttl!U3/HUNGARY2009ttl!$BE$21</f>
        <v>6.5491315851518097E-6</v>
      </c>
      <c r="V7" s="4">
        <f>HUNGARY2009ttl!V3/HUNGARY2009ttl!$BE$22</f>
        <v>0</v>
      </c>
      <c r="W7" s="4">
        <f>HUNGARY2009ttl!W3/HUNGARY2009ttl!$BE$23</f>
        <v>0</v>
      </c>
      <c r="X7" s="4">
        <f>HUNGARY2009ttl!X3/HUNGARY2009ttl!$BE$24</f>
        <v>0</v>
      </c>
      <c r="Y7" s="4">
        <f>HUNGARY2009ttl!Y3/HUNGARY2009ttl!$BE$25</f>
        <v>0</v>
      </c>
      <c r="Z7" s="4">
        <f>HUNGARY2009ttl!Z3/HUNGARY2009ttl!$BE$26</f>
        <v>6.9837279139604715E-6</v>
      </c>
      <c r="AA7" s="4">
        <f>HUNGARY2009ttl!AA3/HUNGARY2009ttl!$BE$27</f>
        <v>1.2021205406336777E-5</v>
      </c>
      <c r="AB7" s="4">
        <f>HUNGARY2009ttl!AB3/HUNGARY2009ttl!$BE$28</f>
        <v>0</v>
      </c>
      <c r="AC7" s="4">
        <f>HUNGARY2009ttl!AC3/HUNGARY2009ttl!$BE$29</f>
        <v>0</v>
      </c>
      <c r="AD7" s="4">
        <f>HUNGARY2009ttl!AD3/HUNGARY2009ttl!$BE$30</f>
        <v>0</v>
      </c>
      <c r="AE7" s="4">
        <f>HUNGARY2009ttl!AE3/HUNGARY2009ttl!$BE$31</f>
        <v>0</v>
      </c>
      <c r="AF7" s="4">
        <f>HUNGARY2009ttl!AF3/HUNGARY2009ttl!$BE$32</f>
        <v>0</v>
      </c>
      <c r="AG7" s="4">
        <f>HUNGARY2009ttl!AG3/HUNGARY2009ttl!$BE$33</f>
        <v>1.8885041935901943E-3</v>
      </c>
      <c r="AH7" s="4">
        <f>HUNGARY2009ttl!AH3/HUNGARY2009ttl!$BE$34</f>
        <v>0</v>
      </c>
      <c r="AI7" s="4">
        <f>HUNGARY2009ttl!AI3/HUNGARY2009ttl!$BE$35</f>
        <v>0</v>
      </c>
      <c r="AJ7" s="4">
        <f>HUNGARY2009ttl!AJ3/HUNGARY2009ttl!$BE$36</f>
        <v>0</v>
      </c>
      <c r="AK7" s="4">
        <f>HUNGARY2009ttl!AK3/HUNGARY2009ttl!$BE$37</f>
        <v>0</v>
      </c>
      <c r="AL7" s="4">
        <f>HUNGARY2009ttl!AL3/HUNGARY2009ttl!$BE$38</f>
        <v>0</v>
      </c>
      <c r="AM7" s="4">
        <f>HUNGARY2009ttl!AM3/HUNGARY2009ttl!$BE$39</f>
        <v>0</v>
      </c>
      <c r="AN7" s="4">
        <f>HUNGARY2009ttl!AN3/HUNGARY2009ttl!$BE$40</f>
        <v>1.5443061432498385E-5</v>
      </c>
      <c r="AO7" s="4">
        <f>HUNGARY2009ttl!AO3/HUNGARY2009ttl!$BE$41</f>
        <v>0</v>
      </c>
      <c r="AP7" s="4">
        <f>HUNGARY2009ttl!AP3/HUNGARY2009ttl!$BE$42</f>
        <v>0</v>
      </c>
      <c r="AQ7" s="4">
        <f>HUNGARY2009ttl!AQ3/HUNGARY2009ttl!$BE$43</f>
        <v>1.249812528120782E-5</v>
      </c>
      <c r="AR7" s="4">
        <f>HUNGARY2009ttl!AR3/HUNGARY2009ttl!$BE$44</f>
        <v>1.1156148897400615E-4</v>
      </c>
      <c r="AS7" s="4">
        <f>HUNGARY2009ttl!AS3/HUNGARY2009ttl!$BE$45</f>
        <v>0</v>
      </c>
      <c r="AT7" s="4">
        <f>HUNGARY2009ttl!AT3/HUNGARY2009ttl!$BE$46</f>
        <v>0</v>
      </c>
    </row>
    <row r="8" spans="1:46" x14ac:dyDescent="0.3">
      <c r="A8" s="14" t="s">
        <v>56</v>
      </c>
      <c r="B8" s="4">
        <f>HUNGARY2009ttl!B4/HUNGARY2009ttl!$BE$2</f>
        <v>3.2700801880533067E-3</v>
      </c>
      <c r="C8" s="4">
        <f>HUNGARY2009ttl!C4/HUNGARY2009ttl!$BE$3</f>
        <v>2.1141649048625794E-3</v>
      </c>
      <c r="D8" s="4">
        <f>HUNGARY2009ttl!D4/HUNGARY2009ttl!$BE$4</f>
        <v>2.067669172932347E-2</v>
      </c>
      <c r="E8" s="4">
        <f>HUNGARY2009ttl!E4/HUNGARY2009ttl!$BE$5</f>
        <v>2.3141005862388146E-2</v>
      </c>
      <c r="F8" s="4">
        <f>HUNGARY2009ttl!F4/HUNGARY2009ttl!$BE$6</f>
        <v>3.1176929072486365E-3</v>
      </c>
      <c r="G8" s="4">
        <f>HUNGARY2009ttl!G4/HUNGARY2009ttl!$BE$7</f>
        <v>3.5751720551551536E-3</v>
      </c>
      <c r="H8" s="4">
        <f>HUNGARY2009ttl!H4/HUNGARY2009ttl!$BE$8</f>
        <v>1.1187768040275966E-3</v>
      </c>
      <c r="I8" s="4">
        <f>HUNGARY2009ttl!I4/HUNGARY2009ttl!$BE$9</f>
        <v>1.7591868647380765E-3</v>
      </c>
      <c r="J8" s="4">
        <f>HUNGARY2009ttl!J4/HUNGARY2009ttl!$BE$10</f>
        <v>3.9525691699604749E-3</v>
      </c>
      <c r="K8" s="4">
        <f>HUNGARY2009ttl!K4/HUNGARY2009ttl!$BE$11</f>
        <v>0.27983695293418709</v>
      </c>
      <c r="L8" s="4">
        <f>HUNGARY2009ttl!L4/HUNGARY2009ttl!$BE$12</f>
        <v>2.9103359726086034E-2</v>
      </c>
      <c r="M8" s="4">
        <f>HUNGARY2009ttl!M4/HUNGARY2009ttl!$BE$13</f>
        <v>3.5180563490392999E-3</v>
      </c>
      <c r="N8" s="4">
        <f>HUNGARY2009ttl!N4/HUNGARY2009ttl!$BE$14</f>
        <v>7.3145755108011885E-4</v>
      </c>
      <c r="O8" s="4">
        <f>HUNGARY2009ttl!O4/HUNGARY2009ttl!$BE$15</f>
        <v>1.8775448650278994E-2</v>
      </c>
      <c r="P8" s="4">
        <f>HUNGARY2009ttl!P4/HUNGARY2009ttl!$BE$16</f>
        <v>4.4303246583688734E-2</v>
      </c>
      <c r="Q8" s="4">
        <f>HUNGARY2009ttl!Q4/HUNGARY2009ttl!$BE$17</f>
        <v>8.8064776535629529E-4</v>
      </c>
      <c r="R8" s="4">
        <f>HUNGARY2009ttl!R4/HUNGARY2009ttl!$BE$18</f>
        <v>1.6323263810271016E-4</v>
      </c>
      <c r="S8" s="4">
        <f>HUNGARY2009ttl!S4/HUNGARY2009ttl!$BE$19</f>
        <v>4.844843874906133E-4</v>
      </c>
      <c r="T8" s="4">
        <f>HUNGARY2009ttl!T4/HUNGARY2009ttl!$BE$20</f>
        <v>7.3487759695025766E-4</v>
      </c>
      <c r="U8" s="4">
        <f>HUNGARY2009ttl!U4/HUNGARY2009ttl!$BE$21</f>
        <v>4.9773400047153752E-4</v>
      </c>
      <c r="V8" s="4">
        <f>HUNGARY2009ttl!V4/HUNGARY2009ttl!$BE$22</f>
        <v>4.3704474505723203E-3</v>
      </c>
      <c r="W8" s="4">
        <f>HUNGARY2009ttl!W4/HUNGARY2009ttl!$BE$23</f>
        <v>3.292614665305719E-4</v>
      </c>
      <c r="X8" s="4">
        <f>HUNGARY2009ttl!X4/HUNGARY2009ttl!$BE$24</f>
        <v>0.10088188627725922</v>
      </c>
      <c r="Y8" s="4">
        <f>HUNGARY2009ttl!Y4/HUNGARY2009ttl!$BE$25</f>
        <v>4.4746011369888143E-3</v>
      </c>
      <c r="Z8" s="4">
        <f>HUNGARY2009ttl!Z4/HUNGARY2009ttl!$BE$26</f>
        <v>3.2753683916474608E-3</v>
      </c>
      <c r="AA8" s="4">
        <f>HUNGARY2009ttl!AA4/HUNGARY2009ttl!$BE$27</f>
        <v>2.5004107245180495E-3</v>
      </c>
      <c r="AB8" s="4">
        <f>HUNGARY2009ttl!AB4/HUNGARY2009ttl!$BE$28</f>
        <v>3.9320981370253479E-3</v>
      </c>
      <c r="AC8" s="4">
        <f>HUNGARY2009ttl!AC4/HUNGARY2009ttl!$BE$29</f>
        <v>1.1422044545973729E-3</v>
      </c>
      <c r="AD8" s="4">
        <f>HUNGARY2009ttl!AD4/HUNGARY2009ttl!$BE$30</f>
        <v>6.8900180862974765E-4</v>
      </c>
      <c r="AE8" s="4">
        <f>HUNGARY2009ttl!AE4/HUNGARY2009ttl!$BE$31</f>
        <v>1.1921804228954964E-2</v>
      </c>
      <c r="AF8" s="4">
        <f>HUNGARY2009ttl!AF4/HUNGARY2009ttl!$BE$32</f>
        <v>2.2206520641970331E-3</v>
      </c>
      <c r="AG8" s="4">
        <f>HUNGARY2009ttl!AG4/HUNGARY2009ttl!$BE$33</f>
        <v>5.4618503638147785E-3</v>
      </c>
      <c r="AH8" s="4">
        <f>HUNGARY2009ttl!AH4/HUNGARY2009ttl!$BE$34</f>
        <v>6.2539086929330843E-4</v>
      </c>
      <c r="AI8" s="4">
        <f>HUNGARY2009ttl!AI4/HUNGARY2009ttl!$BE$35</f>
        <v>9.6943957160003683E-4</v>
      </c>
      <c r="AJ8" s="4">
        <f>HUNGARY2009ttl!AJ4/HUNGARY2009ttl!$BE$36</f>
        <v>3.3895432590458422E-4</v>
      </c>
      <c r="AK8" s="4">
        <f>HUNGARY2009ttl!AK4/HUNGARY2009ttl!$BE$37</f>
        <v>4.5526754233019489E-4</v>
      </c>
      <c r="AL8" s="4">
        <f>HUNGARY2009ttl!AL4/HUNGARY2009ttl!$BE$38</f>
        <v>1.8336022616650444E-3</v>
      </c>
      <c r="AM8" s="4">
        <f>HUNGARY2009ttl!AM4/HUNGARY2009ttl!$BE$39</f>
        <v>2.7833190842595241E-3</v>
      </c>
      <c r="AN8" s="4">
        <f>HUNGARY2009ttl!AN4/HUNGARY2009ttl!$BE$40</f>
        <v>2.1774716619822722E-3</v>
      </c>
      <c r="AO8" s="4">
        <f>HUNGARY2009ttl!AO4/HUNGARY2009ttl!$BE$41</f>
        <v>3.2718468484844079E-3</v>
      </c>
      <c r="AP8" s="4">
        <f>HUNGARY2009ttl!AP4/HUNGARY2009ttl!$BE$42</f>
        <v>6.9165487977369162E-3</v>
      </c>
      <c r="AQ8" s="4">
        <f>HUNGARY2009ttl!AQ4/HUNGARY2009ttl!$BE$43</f>
        <v>7.8988151777233413E-3</v>
      </c>
      <c r="AR8" s="4">
        <f>HUNGARY2009ttl!AR4/HUNGARY2009ttl!$BE$44</f>
        <v>1.0226469822617231E-2</v>
      </c>
      <c r="AS8" s="4">
        <f>HUNGARY2009ttl!AS4/HUNGARY2009ttl!$BE$45</f>
        <v>2.8748850045998155E-3</v>
      </c>
      <c r="AT8" s="4">
        <f>HUNGARY2009ttl!AT4/HUNGARY2009ttl!$BE$46</f>
        <v>0</v>
      </c>
    </row>
    <row r="9" spans="1:46" x14ac:dyDescent="0.3">
      <c r="A9" s="14" t="s">
        <v>57</v>
      </c>
      <c r="B9" s="4">
        <f>HUNGARY2009ttl!B5/HUNGARY2009ttl!$BE$2</f>
        <v>1.355424541714849E-3</v>
      </c>
      <c r="C9" s="4">
        <f>HUNGARY2009ttl!C5/HUNGARY2009ttl!$BE$3</f>
        <v>0</v>
      </c>
      <c r="D9" s="4">
        <f>HUNGARY2009ttl!D5/HUNGARY2009ttl!$BE$4</f>
        <v>4.135338345864694E-2</v>
      </c>
      <c r="E9" s="4">
        <f>HUNGARY2009ttl!E5/HUNGARY2009ttl!$BE$5</f>
        <v>3.6099969145325504E-2</v>
      </c>
      <c r="F9" s="4">
        <f>HUNGARY2009ttl!F5/HUNGARY2009ttl!$BE$6</f>
        <v>3.3515198752922838E-2</v>
      </c>
      <c r="G9" s="4">
        <f>HUNGARY2009ttl!G5/HUNGARY2009ttl!$BE$7</f>
        <v>4.1683256006695311E-3</v>
      </c>
      <c r="H9" s="4">
        <f>HUNGARY2009ttl!H5/HUNGARY2009ttl!$BE$8</f>
        <v>4.9723413512337629E-4</v>
      </c>
      <c r="I9" s="4">
        <f>HUNGARY2009ttl!I5/HUNGARY2009ttl!$BE$9</f>
        <v>1.1727912431587176E-3</v>
      </c>
      <c r="J9" s="4">
        <f>HUNGARY2009ttl!J5/HUNGARY2009ttl!$BE$10</f>
        <v>1.5019762845849805E-3</v>
      </c>
      <c r="K9" s="4">
        <f>HUNGARY2009ttl!K5/HUNGARY2009ttl!$BE$11</f>
        <v>9.9016436728496915E-5</v>
      </c>
      <c r="L9" s="4">
        <f>HUNGARY2009ttl!L5/HUNGARY2009ttl!$BE$12</f>
        <v>2.9156858549111929E-3</v>
      </c>
      <c r="M9" s="4">
        <f>HUNGARY2009ttl!M5/HUNGARY2009ttl!$BE$13</f>
        <v>5.7130829599783505E-4</v>
      </c>
      <c r="N9" s="4">
        <f>HUNGARY2009ttl!N5/HUNGARY2009ttl!$BE$14</f>
        <v>1.3410055103135513E-3</v>
      </c>
      <c r="O9" s="4">
        <f>HUNGARY2009ttl!O5/HUNGARY2009ttl!$BE$15</f>
        <v>3.5175689941185348E-2</v>
      </c>
      <c r="P9" s="4">
        <f>HUNGARY2009ttl!P5/HUNGARY2009ttl!$BE$16</f>
        <v>8.878057272173381E-3</v>
      </c>
      <c r="Q9" s="4">
        <f>HUNGARY2009ttl!Q5/HUNGARY2009ttl!$BE$17</f>
        <v>4.5744758922674229E-3</v>
      </c>
      <c r="R9" s="4">
        <f>HUNGARY2009ttl!R5/HUNGARY2009ttl!$BE$18</f>
        <v>2.21153896784317E-4</v>
      </c>
      <c r="S9" s="4">
        <f>HUNGARY2009ttl!S5/HUNGARY2009ttl!$BE$19</f>
        <v>1.2596594074755945E-3</v>
      </c>
      <c r="T9" s="4">
        <f>HUNGARY2009ttl!T5/HUNGARY2009ttl!$BE$20</f>
        <v>1.1482462452347777E-3</v>
      </c>
      <c r="U9" s="4">
        <f>HUNGARY2009ttl!U5/HUNGARY2009ttl!$BE$21</f>
        <v>6.5491315851518093E-4</v>
      </c>
      <c r="V9" s="4">
        <f>HUNGARY2009ttl!V5/HUNGARY2009ttl!$BE$22</f>
        <v>8.3246618106139442E-4</v>
      </c>
      <c r="W9" s="4">
        <f>HUNGARY2009ttl!W5/HUNGARY2009ttl!$BE$23</f>
        <v>8.5607981297948694E-4</v>
      </c>
      <c r="X9" s="4">
        <f>HUNGARY2009ttl!X5/HUNGARY2009ttl!$BE$24</f>
        <v>1.9679470622240277E-4</v>
      </c>
      <c r="Y9" s="4">
        <f>HUNGARY2009ttl!Y5/HUNGARY2009ttl!$BE$25</f>
        <v>1.7604988079955989E-3</v>
      </c>
      <c r="Z9" s="4">
        <f>HUNGARY2009ttl!Z5/HUNGARY2009ttl!$BE$26</f>
        <v>8.6388714295691036E-3</v>
      </c>
      <c r="AA9" s="4">
        <f>HUNGARY2009ttl!AA5/HUNGARY2009ttl!$BE$27</f>
        <v>1.0779014181015311E-3</v>
      </c>
      <c r="AB9" s="4">
        <f>HUNGARY2009ttl!AB5/HUNGARY2009ttl!$BE$28</f>
        <v>1.0180189351521937E-4</v>
      </c>
      <c r="AC9" s="4">
        <f>HUNGARY2009ttl!AC5/HUNGARY2009ttl!$BE$29</f>
        <v>5.7110222729868647E-4</v>
      </c>
      <c r="AD9" s="4">
        <f>HUNGARY2009ttl!AD5/HUNGARY2009ttl!$BE$30</f>
        <v>0</v>
      </c>
      <c r="AE9" s="4">
        <f>HUNGARY2009ttl!AE5/HUNGARY2009ttl!$BE$31</f>
        <v>3.9895801553589444E-4</v>
      </c>
      <c r="AF9" s="4">
        <f>HUNGARY2009ttl!AF5/HUNGARY2009ttl!$BE$32</f>
        <v>0</v>
      </c>
      <c r="AG9" s="4">
        <f>HUNGARY2009ttl!AG5/HUNGARY2009ttl!$BE$33</f>
        <v>5.5544240987946892E-5</v>
      </c>
      <c r="AH9" s="4">
        <f>HUNGARY2009ttl!AH5/HUNGARY2009ttl!$BE$34</f>
        <v>1.1912207034158255E-4</v>
      </c>
      <c r="AI9" s="4">
        <f>HUNGARY2009ttl!AI5/HUNGARY2009ttl!$BE$35</f>
        <v>4.6163789123811277E-5</v>
      </c>
      <c r="AJ9" s="4">
        <f>HUNGARY2009ttl!AJ5/HUNGARY2009ttl!$BE$36</f>
        <v>3.3895432590458422E-4</v>
      </c>
      <c r="AK9" s="4">
        <f>HUNGARY2009ttl!AK5/HUNGARY2009ttl!$BE$37</f>
        <v>1.9373086907667869E-5</v>
      </c>
      <c r="AL9" s="4">
        <f>HUNGARY2009ttl!AL5/HUNGARY2009ttl!$BE$38</f>
        <v>1.5135553214471456E-3</v>
      </c>
      <c r="AM9" s="4">
        <f>HUNGARY2009ttl!AM5/HUNGARY2009ttl!$BE$39</f>
        <v>7.8844875083119634E-4</v>
      </c>
      <c r="AN9" s="4">
        <f>HUNGARY2009ttl!AN5/HUNGARY2009ttl!$BE$40</f>
        <v>4.01519597244958E-4</v>
      </c>
      <c r="AO9" s="4">
        <f>HUNGARY2009ttl!AO5/HUNGARY2009ttl!$BE$41</f>
        <v>1.0906156161614692E-4</v>
      </c>
      <c r="AP9" s="4">
        <f>HUNGARY2009ttl!AP5/HUNGARY2009ttl!$BE$42</f>
        <v>2.4045261669024045E-4</v>
      </c>
      <c r="AQ9" s="4">
        <f>HUNGARY2009ttl!AQ5/HUNGARY2009ttl!$BE$43</f>
        <v>7.1239314102884569E-4</v>
      </c>
      <c r="AR9" s="4">
        <f>HUNGARY2009ttl!AR5/HUNGARY2009ttl!$BE$44</f>
        <v>7.4374325982670773E-4</v>
      </c>
      <c r="AS9" s="4">
        <f>HUNGARY2009ttl!AS5/HUNGARY2009ttl!$BE$45</f>
        <v>1.3799448022079113E-3</v>
      </c>
      <c r="AT9" s="4">
        <f>HUNGARY2009ttl!AT5/HUNGARY2009ttl!$BE$46</f>
        <v>0</v>
      </c>
    </row>
    <row r="10" spans="1:46" x14ac:dyDescent="0.3">
      <c r="A10" s="14" t="s">
        <v>58</v>
      </c>
      <c r="B10" s="4">
        <f>HUNGARY2009ttl!B6/HUNGARY2009ttl!$BE$2</f>
        <v>4.7392466493526184E-5</v>
      </c>
      <c r="C10" s="4">
        <f>HUNGARY2009ttl!C6/HUNGARY2009ttl!$BE$3</f>
        <v>0</v>
      </c>
      <c r="D10" s="4">
        <f>HUNGARY2009ttl!D6/HUNGARY2009ttl!$BE$4</f>
        <v>0.12875939849624157</v>
      </c>
      <c r="E10" s="4">
        <f>HUNGARY2009ttl!E6/HUNGARY2009ttl!$BE$5</f>
        <v>1.2341869793273679E-3</v>
      </c>
      <c r="F10" s="4">
        <f>HUNGARY2009ttl!F6/HUNGARY2009ttl!$BE$6</f>
        <v>4.7934528448947786E-2</v>
      </c>
      <c r="G10" s="4">
        <f>HUNGARY2009ttl!G6/HUNGARY2009ttl!$BE$7</f>
        <v>4.8752346206661182E-5</v>
      </c>
      <c r="H10" s="4">
        <f>HUNGARY2009ttl!H6/HUNGARY2009ttl!$BE$8</f>
        <v>0</v>
      </c>
      <c r="I10" s="4">
        <f>HUNGARY2009ttl!I6/HUNGARY2009ttl!$BE$9</f>
        <v>2.9319781078967941E-4</v>
      </c>
      <c r="J10" s="4">
        <f>HUNGARY2009ttl!J6/HUNGARY2009ttl!$BE$10</f>
        <v>3.9525691699604751E-5</v>
      </c>
      <c r="K10" s="4">
        <f>HUNGARY2009ttl!K6/HUNGARY2009ttl!$BE$11</f>
        <v>1.2146016238695621E-2</v>
      </c>
      <c r="L10" s="4">
        <f>HUNGARY2009ttl!L6/HUNGARY2009ttl!$BE$12</f>
        <v>2.94243526642414E-4</v>
      </c>
      <c r="M10" s="4">
        <f>HUNGARY2009ttl!M6/HUNGARY2009ttl!$BE$13</f>
        <v>6.0137715368193167E-5</v>
      </c>
      <c r="N10" s="4">
        <f>HUNGARY2009ttl!N6/HUNGARY2009ttl!$BE$14</f>
        <v>2.9258302043204756E-4</v>
      </c>
      <c r="O10" s="4">
        <f>HUNGARY2009ttl!O6/HUNGARY2009ttl!$BE$15</f>
        <v>2.2621022470215656E-4</v>
      </c>
      <c r="P10" s="4">
        <f>HUNGARY2009ttl!P6/HUNGARY2009ttl!$BE$16</f>
        <v>1.4796762120288967E-3</v>
      </c>
      <c r="Q10" s="4">
        <f>HUNGARY2009ttl!Q6/HUNGARY2009ttl!$BE$17</f>
        <v>2.446243792656376E-5</v>
      </c>
      <c r="R10" s="4">
        <f>HUNGARY2009ttl!R6/HUNGARY2009ttl!$BE$18</f>
        <v>2.6327844855275834E-5</v>
      </c>
      <c r="S10" s="4">
        <f>HUNGARY2009ttl!S6/HUNGARY2009ttl!$BE$19</f>
        <v>4.8448438749061335E-5</v>
      </c>
      <c r="T10" s="4">
        <f>HUNGARY2009ttl!T6/HUNGARY2009ttl!$BE$20</f>
        <v>1.0716964955524591E-4</v>
      </c>
      <c r="U10" s="4">
        <f>HUNGARY2009ttl!U6/HUNGARY2009ttl!$BE$21</f>
        <v>1.3753176328818801E-4</v>
      </c>
      <c r="V10" s="4">
        <f>HUNGARY2009ttl!V6/HUNGARY2009ttl!$BE$22</f>
        <v>2.081165452653486E-4</v>
      </c>
      <c r="W10" s="4">
        <f>HUNGARY2009ttl!W6/HUNGARY2009ttl!$BE$23</f>
        <v>3.6218761318362912E-4</v>
      </c>
      <c r="X10" s="4">
        <f>HUNGARY2009ttl!X6/HUNGARY2009ttl!$BE$24</f>
        <v>1.1192698916399155E-3</v>
      </c>
      <c r="Y10" s="4">
        <f>HUNGARY2009ttl!Y6/HUNGARY2009ttl!$BE$25</f>
        <v>1.4670823399963326E-4</v>
      </c>
      <c r="Z10" s="4">
        <f>HUNGARY2009ttl!Z6/HUNGARY2009ttl!$BE$26</f>
        <v>8.5899853341713797E-4</v>
      </c>
      <c r="AA10" s="4">
        <f>HUNGARY2009ttl!AA6/HUNGARY2009ttl!$BE$27</f>
        <v>6.0106027031683888E-5</v>
      </c>
      <c r="AB10" s="4">
        <f>HUNGARY2009ttl!AB6/HUNGARY2009ttl!$BE$28</f>
        <v>5.0900946757609685E-5</v>
      </c>
      <c r="AC10" s="4">
        <f>HUNGARY2009ttl!AC6/HUNGARY2009ttl!$BE$29</f>
        <v>0</v>
      </c>
      <c r="AD10" s="4">
        <f>HUNGARY2009ttl!AD6/HUNGARY2009ttl!$BE$30</f>
        <v>0</v>
      </c>
      <c r="AE10" s="4">
        <f>HUNGARY2009ttl!AE6/HUNGARY2009ttl!$BE$31</f>
        <v>1.4080871136560981E-4</v>
      </c>
      <c r="AF10" s="4">
        <f>HUNGARY2009ttl!AF6/HUNGARY2009ttl!$BE$32</f>
        <v>0</v>
      </c>
      <c r="AG10" s="4">
        <f>HUNGARY2009ttl!AG6/HUNGARY2009ttl!$BE$33</f>
        <v>5.5544240987946892E-5</v>
      </c>
      <c r="AH10" s="4">
        <f>HUNGARY2009ttl!AH6/HUNGARY2009ttl!$BE$34</f>
        <v>2.9780517585395638E-5</v>
      </c>
      <c r="AI10" s="4">
        <f>HUNGARY2009ttl!AI6/HUNGARY2009ttl!$BE$35</f>
        <v>2.3081894561905638E-5</v>
      </c>
      <c r="AJ10" s="4">
        <f>HUNGARY2009ttl!AJ6/HUNGARY2009ttl!$BE$36</f>
        <v>2.8246193825382021E-5</v>
      </c>
      <c r="AK10" s="4">
        <f>HUNGARY2009ttl!AK6/HUNGARY2009ttl!$BE$37</f>
        <v>1.9373086907667869E-5</v>
      </c>
      <c r="AL10" s="4">
        <f>HUNGARY2009ttl!AL6/HUNGARY2009ttl!$BE$38</f>
        <v>4.0005867527237331E-5</v>
      </c>
      <c r="AM10" s="4">
        <f>HUNGARY2009ttl!AM6/HUNGARY2009ttl!$BE$39</f>
        <v>1.2349197302175362E-4</v>
      </c>
      <c r="AN10" s="4">
        <f>HUNGARY2009ttl!AN6/HUNGARY2009ttl!$BE$40</f>
        <v>7.7215307162491919E-5</v>
      </c>
      <c r="AO10" s="4">
        <f>HUNGARY2009ttl!AO6/HUNGARY2009ttl!$BE$41</f>
        <v>3.6353853872048977E-5</v>
      </c>
      <c r="AP10" s="4">
        <f>HUNGARY2009ttl!AP6/HUNGARY2009ttl!$BE$42</f>
        <v>5.6577086280056583E-5</v>
      </c>
      <c r="AQ10" s="4">
        <f>HUNGARY2009ttl!AQ6/HUNGARY2009ttl!$BE$43</f>
        <v>1.4997750337449381E-4</v>
      </c>
      <c r="AR10" s="4">
        <f>HUNGARY2009ttl!AR6/HUNGARY2009ttl!$BE$44</f>
        <v>1.4874865196534156E-4</v>
      </c>
      <c r="AS10" s="4">
        <f>HUNGARY2009ttl!AS6/HUNGARY2009ttl!$BE$45</f>
        <v>5.7497700091996313E-5</v>
      </c>
      <c r="AT10" s="4">
        <f>HUNGARY2009ttl!AT6/HUNGARY2009ttl!$BE$46</f>
        <v>0</v>
      </c>
    </row>
    <row r="11" spans="1:46" x14ac:dyDescent="0.3">
      <c r="A11" s="14" t="s">
        <v>59</v>
      </c>
      <c r="B11" s="4">
        <f>HUNGARY2009ttl!B7/HUNGARY2009ttl!$BE$2</f>
        <v>8.1524520862163746E-2</v>
      </c>
      <c r="C11" s="4">
        <f>HUNGARY2009ttl!C7/HUNGARY2009ttl!$BE$3</f>
        <v>5.0739957716701894E-2</v>
      </c>
      <c r="D11" s="4">
        <f>HUNGARY2009ttl!D7/HUNGARY2009ttl!$BE$4</f>
        <v>9.398496240601577E-4</v>
      </c>
      <c r="E11" s="4">
        <f>HUNGARY2009ttl!E7/HUNGARY2009ttl!$BE$5</f>
        <v>9.2564023449552579E-4</v>
      </c>
      <c r="F11" s="4">
        <f>HUNGARY2009ttl!F7/HUNGARY2009ttl!$BE$6</f>
        <v>1.1691348402182386E-3</v>
      </c>
      <c r="G11" s="4">
        <f>HUNGARY2009ttl!G7/HUNGARY2009ttl!$BE$7</f>
        <v>0.10745017103948126</v>
      </c>
      <c r="H11" s="4">
        <f>HUNGARY2009ttl!H7/HUNGARY2009ttl!$BE$8</f>
        <v>2.361862141836037E-3</v>
      </c>
      <c r="I11" s="4">
        <f>HUNGARY2009ttl!I7/HUNGARY2009ttl!$BE$9</f>
        <v>1.7591868647380765E-3</v>
      </c>
      <c r="J11" s="4">
        <f>HUNGARY2009ttl!J7/HUNGARY2009ttl!$BE$10</f>
        <v>6.1660079051383413E-3</v>
      </c>
      <c r="K11" s="4">
        <f>HUNGARY2009ttl!K7/HUNGARY2009ttl!$BE$11</f>
        <v>5.0663410126080928E-3</v>
      </c>
      <c r="L11" s="4">
        <f>HUNGARY2009ttl!L7/HUNGARY2009ttl!$BE$12</f>
        <v>5.8848705328482798E-3</v>
      </c>
      <c r="M11" s="4">
        <f>HUNGARY2009ttl!M7/HUNGARY2009ttl!$BE$13</f>
        <v>5.4424632408214815E-3</v>
      </c>
      <c r="N11" s="4">
        <f>HUNGARY2009ttl!N7/HUNGARY2009ttl!$BE$14</f>
        <v>3.462232408445896E-3</v>
      </c>
      <c r="O11" s="4">
        <f>HUNGARY2009ttl!O7/HUNGARY2009ttl!$BE$15</f>
        <v>1.6588749811491483E-3</v>
      </c>
      <c r="P11" s="4">
        <f>HUNGARY2009ttl!P7/HUNGARY2009ttl!$BE$16</f>
        <v>1.3491165462616412E-3</v>
      </c>
      <c r="Q11" s="4">
        <f>HUNGARY2009ttl!Q7/HUNGARY2009ttl!$BE$17</f>
        <v>1.2720467721813154E-3</v>
      </c>
      <c r="R11" s="4">
        <f>HUNGARY2009ttl!R7/HUNGARY2009ttl!$BE$18</f>
        <v>8.056320525714405E-4</v>
      </c>
      <c r="S11" s="4">
        <f>HUNGARY2009ttl!S7/HUNGARY2009ttl!$BE$19</f>
        <v>1.4050047237227784E-3</v>
      </c>
      <c r="T11" s="4">
        <f>HUNGARY2009ttl!T7/HUNGARY2009ttl!$BE$20</f>
        <v>1.0410765956795317E-3</v>
      </c>
      <c r="U11" s="4">
        <f>HUNGARY2009ttl!U7/HUNGARY2009ttl!$BE$21</f>
        <v>8.7758363241034244E-4</v>
      </c>
      <c r="V11" s="4">
        <f>HUNGARY2009ttl!V7/HUNGARY2009ttl!$BE$22</f>
        <v>1.0405827263267431E-3</v>
      </c>
      <c r="W11" s="4">
        <f>HUNGARY2009ttl!W7/HUNGARY2009ttl!$BE$23</f>
        <v>1.6133811859998025E-3</v>
      </c>
      <c r="X11" s="4">
        <f>HUNGARY2009ttl!X7/HUNGARY2009ttl!$BE$24</f>
        <v>2.5829305191690361E-3</v>
      </c>
      <c r="Y11" s="4">
        <f>HUNGARY2009ttl!Y7/HUNGARY2009ttl!$BE$25</f>
        <v>2.6774252704933068E-3</v>
      </c>
      <c r="Z11" s="4">
        <f>HUNGARY2009ttl!Z7/HUNGARY2009ttl!$BE$26</f>
        <v>1.124380194147636E-3</v>
      </c>
      <c r="AA11" s="4">
        <f>HUNGARY2009ttl!AA7/HUNGARY2009ttl!$BE$27</f>
        <v>7.7416562816808839E-3</v>
      </c>
      <c r="AB11" s="4">
        <f>HUNGARY2009ttl!AB7/HUNGARY2009ttl!$BE$28</f>
        <v>6.7443754453832823E-4</v>
      </c>
      <c r="AC11" s="4">
        <f>HUNGARY2009ttl!AC7/HUNGARY2009ttl!$BE$29</f>
        <v>8.5665334094802963E-3</v>
      </c>
      <c r="AD11" s="4">
        <f>HUNGARY2009ttl!AD7/HUNGARY2009ttl!$BE$30</f>
        <v>4.5646369821720776E-3</v>
      </c>
      <c r="AE11" s="4">
        <f>HUNGARY2009ttl!AE7/HUNGARY2009ttl!$BE$31</f>
        <v>4.4589425265776435E-4</v>
      </c>
      <c r="AF11" s="4">
        <f>HUNGARY2009ttl!AF7/HUNGARY2009ttl!$BE$32</f>
        <v>6.056323811446453E-4</v>
      </c>
      <c r="AG11" s="4">
        <f>HUNGARY2009ttl!AG7/HUNGARY2009ttl!$BE$33</f>
        <v>0.21327137064672011</v>
      </c>
      <c r="AH11" s="4">
        <f>HUNGARY2009ttl!AH7/HUNGARY2009ttl!$BE$34</f>
        <v>5.3604931653712152E-4</v>
      </c>
      <c r="AI11" s="4">
        <f>HUNGARY2009ttl!AI7/HUNGARY2009ttl!$BE$35</f>
        <v>3.6931031299049021E-4</v>
      </c>
      <c r="AJ11" s="4">
        <f>HUNGARY2009ttl!AJ7/HUNGARY2009ttl!$BE$36</f>
        <v>5.3667768268225832E-4</v>
      </c>
      <c r="AK11" s="4">
        <f>HUNGARY2009ttl!AK7/HUNGARY2009ttl!$BE$37</f>
        <v>4.2620791196869312E-4</v>
      </c>
      <c r="AL11" s="4">
        <f>HUNGARY2009ttl!AL7/HUNGARY2009ttl!$BE$38</f>
        <v>8.2678792889623819E-4</v>
      </c>
      <c r="AM11" s="4">
        <f>HUNGARY2009ttl!AM7/HUNGARY2009ttl!$BE$39</f>
        <v>2.4128431651942632E-3</v>
      </c>
      <c r="AN11" s="4">
        <f>HUNGARY2009ttl!AN7/HUNGARY2009ttl!$BE$40</f>
        <v>6.3007690644593401E-3</v>
      </c>
      <c r="AO11" s="4">
        <f>HUNGARY2009ttl!AO7/HUNGARY2009ttl!$BE$41</f>
        <v>1.9921911921882839E-3</v>
      </c>
      <c r="AP11" s="4">
        <f>HUNGARY2009ttl!AP7/HUNGARY2009ttl!$BE$42</f>
        <v>7.4964639321074963E-4</v>
      </c>
      <c r="AQ11" s="4">
        <f>HUNGARY2009ttl!AQ7/HUNGARY2009ttl!$BE$43</f>
        <v>1.6010098485227216E-2</v>
      </c>
      <c r="AR11" s="4">
        <f>HUNGARY2009ttl!AR7/HUNGARY2009ttl!$BE$44</f>
        <v>3.9418392770815512E-3</v>
      </c>
      <c r="AS11" s="4">
        <f>HUNGARY2009ttl!AS7/HUNGARY2009ttl!$BE$45</f>
        <v>3.852345906163753E-3</v>
      </c>
      <c r="AT11" s="4">
        <f>HUNGARY2009ttl!AT7/HUNGARY2009ttl!$BE$46</f>
        <v>0</v>
      </c>
    </row>
    <row r="12" spans="1:46" x14ac:dyDescent="0.3">
      <c r="A12" s="14" t="s">
        <v>60</v>
      </c>
      <c r="B12" s="4">
        <f>HUNGARY2009ttl!B8/HUNGARY2009ttl!$BE$2</f>
        <v>4.6444617163655667E-4</v>
      </c>
      <c r="C12" s="4">
        <f>HUNGARY2009ttl!C8/HUNGARY2009ttl!$BE$3</f>
        <v>0</v>
      </c>
      <c r="D12" s="4">
        <f>HUNGARY2009ttl!D8/HUNGARY2009ttl!$BE$4</f>
        <v>9.398496240601577E-4</v>
      </c>
      <c r="E12" s="4">
        <f>HUNGARY2009ttl!E8/HUNGARY2009ttl!$BE$5</f>
        <v>6.1709348966368393E-4</v>
      </c>
      <c r="F12" s="4">
        <f>HUNGARY2009ttl!F8/HUNGARY2009ttl!$BE$6</f>
        <v>3.8971161340607956E-4</v>
      </c>
      <c r="G12" s="4">
        <f>HUNGARY2009ttl!G8/HUNGARY2009ttl!$BE$7</f>
        <v>7.8816293034102245E-4</v>
      </c>
      <c r="H12" s="4">
        <f>HUNGARY2009ttl!H8/HUNGARY2009ttl!$BE$8</f>
        <v>0.19914227111691218</v>
      </c>
      <c r="I12" s="4">
        <f>HUNGARY2009ttl!I8/HUNGARY2009ttl!$BE$9</f>
        <v>1.0750586395621581E-3</v>
      </c>
      <c r="J12" s="4">
        <f>HUNGARY2009ttl!J8/HUNGARY2009ttl!$BE$10</f>
        <v>3.0830039525691706E-3</v>
      </c>
      <c r="K12" s="4">
        <f>HUNGARY2009ttl!K8/HUNGARY2009ttl!$BE$11</f>
        <v>2.3103835236649282E-4</v>
      </c>
      <c r="L12" s="4">
        <f>HUNGARY2009ttl!L8/HUNGARY2009ttl!$BE$12</f>
        <v>8.8273057992724183E-4</v>
      </c>
      <c r="M12" s="4">
        <f>HUNGARY2009ttl!M8/HUNGARY2009ttl!$BE$13</f>
        <v>9.9227230357518711E-4</v>
      </c>
      <c r="N12" s="4">
        <f>HUNGARY2009ttl!N8/HUNGARY2009ttl!$BE$14</f>
        <v>8.8750182864387756E-3</v>
      </c>
      <c r="O12" s="4">
        <f>HUNGARY2009ttl!O8/HUNGARY2009ttl!$BE$15</f>
        <v>1.3949630523299656E-3</v>
      </c>
      <c r="P12" s="4">
        <f>HUNGARY2009ttl!P8/HUNGARY2009ttl!$BE$16</f>
        <v>8.2687788319261871E-4</v>
      </c>
      <c r="Q12" s="4">
        <f>HUNGARY2009ttl!Q8/HUNGARY2009ttl!$BE$17</f>
        <v>7.8279801365004032E-4</v>
      </c>
      <c r="R12" s="4">
        <f>HUNGARY2009ttl!R8/HUNGARY2009ttl!$BE$18</f>
        <v>1.1320973287768609E-3</v>
      </c>
      <c r="S12" s="4">
        <f>HUNGARY2009ttl!S8/HUNGARY2009ttl!$BE$19</f>
        <v>1.6714711368426159E-3</v>
      </c>
      <c r="T12" s="4">
        <f>HUNGARY2009ttl!T8/HUNGARY2009ttl!$BE$20</f>
        <v>1.745334292756862E-3</v>
      </c>
      <c r="U12" s="4">
        <f>HUNGARY2009ttl!U8/HUNGARY2009ttl!$BE$21</f>
        <v>5.029733057396589E-3</v>
      </c>
      <c r="V12" s="4">
        <f>HUNGARY2009ttl!V8/HUNGARY2009ttl!$BE$22</f>
        <v>1.2486992715920915E-3</v>
      </c>
      <c r="W12" s="4">
        <f>HUNGARY2009ttl!W8/HUNGARY2009ttl!$BE$23</f>
        <v>1.6561851766487765E-2</v>
      </c>
      <c r="X12" s="4">
        <f>HUNGARY2009ttl!X8/HUNGARY2009ttl!$BE$24</f>
        <v>3.3209106675030468E-4</v>
      </c>
      <c r="Y12" s="4">
        <f>HUNGARY2009ttl!Y8/HUNGARY2009ttl!$BE$25</f>
        <v>1.2836970474967909E-3</v>
      </c>
      <c r="Z12" s="4">
        <f>HUNGARY2009ttl!Z8/HUNGARY2009ttl!$BE$26</f>
        <v>1.0754940987499125E-3</v>
      </c>
      <c r="AA12" s="4">
        <f>HUNGARY2009ttl!AA8/HUNGARY2009ttl!$BE$27</f>
        <v>1.2301700199151301E-3</v>
      </c>
      <c r="AB12" s="4">
        <f>HUNGARY2009ttl!AB8/HUNGARY2009ttl!$BE$28</f>
        <v>4.4538328412908472E-4</v>
      </c>
      <c r="AC12" s="4">
        <f>HUNGARY2009ttl!AC8/HUNGARY2009ttl!$BE$29</f>
        <v>5.7110222729868647E-4</v>
      </c>
      <c r="AD12" s="4">
        <f>HUNGARY2009ttl!AD8/HUNGARY2009ttl!$BE$30</f>
        <v>3.4450090431487382E-4</v>
      </c>
      <c r="AE12" s="4">
        <f>HUNGARY2009ttl!AE8/HUNGARY2009ttl!$BE$31</f>
        <v>4.4589425265776435E-4</v>
      </c>
      <c r="AF12" s="4">
        <f>HUNGARY2009ttl!AF8/HUNGARY2009ttl!$BE$32</f>
        <v>1.1103260320985166E-3</v>
      </c>
      <c r="AG12" s="4">
        <f>HUNGARY2009ttl!AG8/HUNGARY2009ttl!$BE$33</f>
        <v>9.9979633778304422E-4</v>
      </c>
      <c r="AH12" s="4">
        <f>HUNGARY2009ttl!AH8/HUNGARY2009ttl!$BE$34</f>
        <v>2.6802465826856076E-4</v>
      </c>
      <c r="AI12" s="4">
        <f>HUNGARY2009ttl!AI8/HUNGARY2009ttl!$BE$35</f>
        <v>3.4622841842858455E-4</v>
      </c>
      <c r="AJ12" s="4">
        <f>HUNGARY2009ttl!AJ8/HUNGARY2009ttl!$BE$36</f>
        <v>3.3895432590458422E-4</v>
      </c>
      <c r="AK12" s="4">
        <f>HUNGARY2009ttl!AK8/HUNGARY2009ttl!$BE$37</f>
        <v>1.45298151807509E-4</v>
      </c>
      <c r="AL12" s="4">
        <f>HUNGARY2009ttl!AL8/HUNGARY2009ttl!$BE$38</f>
        <v>2.200322713998053E-4</v>
      </c>
      <c r="AM12" s="4">
        <f>HUNGARY2009ttl!AM8/HUNGARY2009ttl!$BE$39</f>
        <v>4.5597036192647494E-4</v>
      </c>
      <c r="AN12" s="4">
        <f>HUNGARY2009ttl!AN8/HUNGARY2009ttl!$BE$40</f>
        <v>9.8835593167989665E-4</v>
      </c>
      <c r="AO12" s="4">
        <f>HUNGARY2009ttl!AO8/HUNGARY2009ttl!$BE$41</f>
        <v>6.1074474505042281E-4</v>
      </c>
      <c r="AP12" s="4">
        <f>HUNGARY2009ttl!AP8/HUNGARY2009ttl!$BE$42</f>
        <v>2.6874115983026872E-4</v>
      </c>
      <c r="AQ12" s="4">
        <f>HUNGARY2009ttl!AQ8/HUNGARY2009ttl!$BE$43</f>
        <v>1.8997150427435884E-3</v>
      </c>
      <c r="AR12" s="4">
        <f>HUNGARY2009ttl!AR8/HUNGARY2009ttl!$BE$44</f>
        <v>3.2724703432375143E-3</v>
      </c>
      <c r="AS12" s="4">
        <f>HUNGARY2009ttl!AS8/HUNGARY2009ttl!$BE$45</f>
        <v>6.583486660533577E-3</v>
      </c>
      <c r="AT12" s="4">
        <f>HUNGARY2009ttl!AT8/HUNGARY2009ttl!$BE$46</f>
        <v>0</v>
      </c>
    </row>
    <row r="13" spans="1:46" x14ac:dyDescent="0.3">
      <c r="A13" s="14" t="s">
        <v>61</v>
      </c>
      <c r="B13" s="4">
        <f>HUNGARY2009ttl!B9/HUNGARY2009ttl!$BE$2</f>
        <v>2.037876059221626E-3</v>
      </c>
      <c r="C13" s="4">
        <f>HUNGARY2009ttl!C9/HUNGARY2009ttl!$BE$3</f>
        <v>0</v>
      </c>
      <c r="D13" s="4">
        <f>HUNGARY2009ttl!D9/HUNGARY2009ttl!$BE$4</f>
        <v>0</v>
      </c>
      <c r="E13" s="4">
        <f>HUNGARY2009ttl!E9/HUNGARY2009ttl!$BE$5</f>
        <v>3.0854674483184197E-4</v>
      </c>
      <c r="F13" s="4">
        <f>HUNGARY2009ttl!F9/HUNGARY2009ttl!$BE$6</f>
        <v>3.8971161340607956E-4</v>
      </c>
      <c r="G13" s="4">
        <f>HUNGARY2009ttl!G9/HUNGARY2009ttl!$BE$7</f>
        <v>1.5844512517164885E-3</v>
      </c>
      <c r="H13" s="4">
        <f>HUNGARY2009ttl!H9/HUNGARY2009ttl!$BE$8</f>
        <v>2.2997078749456153E-3</v>
      </c>
      <c r="I13" s="4">
        <f>HUNGARY2009ttl!I9/HUNGARY2009ttl!$BE$9</f>
        <v>0.19253322908522283</v>
      </c>
      <c r="J13" s="4">
        <f>HUNGARY2009ttl!J9/HUNGARY2009ttl!$BE$10</f>
        <v>2.2924901185770756E-3</v>
      </c>
      <c r="K13" s="4">
        <f>HUNGARY2009ttl!K9/HUNGARY2009ttl!$BE$11</f>
        <v>2.4754109182124233E-4</v>
      </c>
      <c r="L13" s="4">
        <f>HUNGARY2009ttl!L9/HUNGARY2009ttl!$BE$12</f>
        <v>3.2099293815536071E-3</v>
      </c>
      <c r="M13" s="4">
        <f>HUNGARY2009ttl!M9/HUNGARY2009ttl!$BE$13</f>
        <v>4.8110172294554533E-4</v>
      </c>
      <c r="N13" s="4">
        <f>HUNGARY2009ttl!N9/HUNGARY2009ttl!$BE$14</f>
        <v>3.4134685717072213E-3</v>
      </c>
      <c r="O13" s="4">
        <f>HUNGARY2009ttl!O9/HUNGARY2009ttl!$BE$15</f>
        <v>7.8042527522244011E-3</v>
      </c>
      <c r="P13" s="4">
        <f>HUNGARY2009ttl!P9/HUNGARY2009ttl!$BE$16</f>
        <v>2.3935938723996862E-3</v>
      </c>
      <c r="Q13" s="4">
        <f>HUNGARY2009ttl!Q9/HUNGARY2009ttl!$BE$17</f>
        <v>4.8680251473861872E-3</v>
      </c>
      <c r="R13" s="4">
        <f>HUNGARY2009ttl!R9/HUNGARY2009ttl!$BE$18</f>
        <v>7.6877306977405431E-4</v>
      </c>
      <c r="S13" s="4">
        <f>HUNGARY2009ttl!S9/HUNGARY2009ttl!$BE$19</f>
        <v>3.4156149318088237E-3</v>
      </c>
      <c r="T13" s="4">
        <f>HUNGARY2009ttl!T9/HUNGARY2009ttl!$BE$20</f>
        <v>2.3577322902154103E-3</v>
      </c>
      <c r="U13" s="4">
        <f>HUNGARY2009ttl!U9/HUNGARY2009ttl!$BE$21</f>
        <v>1.5455950540958271E-3</v>
      </c>
      <c r="V13" s="4">
        <f>HUNGARY2009ttl!V9/HUNGARY2009ttl!$BE$22</f>
        <v>3.3298647242455777E-3</v>
      </c>
      <c r="W13" s="4">
        <f>HUNGARY2009ttl!W9/HUNGARY2009ttl!$BE$23</f>
        <v>3.5757795265220105E-2</v>
      </c>
      <c r="X13" s="4">
        <f>HUNGARY2009ttl!X9/HUNGARY2009ttl!$BE$24</f>
        <v>1.8080513634183251E-3</v>
      </c>
      <c r="Y13" s="4">
        <f>HUNGARY2009ttl!Y9/HUNGARY2009ttl!$BE$25</f>
        <v>8.4357234549789115E-4</v>
      </c>
      <c r="Z13" s="4">
        <f>HUNGARY2009ttl!Z9/HUNGARY2009ttl!$BE$26</f>
        <v>2.0001396745582788E-2</v>
      </c>
      <c r="AA13" s="4">
        <f>HUNGARY2009ttl!AA9/HUNGARY2009ttl!$BE$27</f>
        <v>2.3441350542356717E-3</v>
      </c>
      <c r="AB13" s="4">
        <f>HUNGARY2009ttl!AB9/HUNGARY2009ttl!$BE$28</f>
        <v>1.030744171841596E-3</v>
      </c>
      <c r="AC13" s="4">
        <f>HUNGARY2009ttl!AC9/HUNGARY2009ttl!$BE$29</f>
        <v>1.7133066818960591E-3</v>
      </c>
      <c r="AD13" s="4">
        <f>HUNGARY2009ttl!AD9/HUNGARY2009ttl!$BE$30</f>
        <v>4.3062613039359222E-4</v>
      </c>
      <c r="AE13" s="4">
        <f>HUNGARY2009ttl!AE9/HUNGARY2009ttl!$BE$31</f>
        <v>3.7548989697495949E-4</v>
      </c>
      <c r="AF13" s="4">
        <f>HUNGARY2009ttl!AF9/HUNGARY2009ttl!$BE$32</f>
        <v>2.0187746038154844E-4</v>
      </c>
      <c r="AG13" s="4">
        <f>HUNGARY2009ttl!AG9/HUNGARY2009ttl!$BE$33</f>
        <v>5.3692766288348669E-4</v>
      </c>
      <c r="AH13" s="4">
        <f>HUNGARY2009ttl!AH9/HUNGARY2009ttl!$BE$34</f>
        <v>1.786831055123738E-4</v>
      </c>
      <c r="AI13" s="4">
        <f>HUNGARY2009ttl!AI9/HUNGARY2009ttl!$BE$35</f>
        <v>4.6163789123811275E-4</v>
      </c>
      <c r="AJ13" s="4">
        <f>HUNGARY2009ttl!AJ9/HUNGARY2009ttl!$BE$36</f>
        <v>8.4738581476146056E-5</v>
      </c>
      <c r="AK13" s="4">
        <f>HUNGARY2009ttl!AK9/HUNGARY2009ttl!$BE$37</f>
        <v>7.7492347630671478E-5</v>
      </c>
      <c r="AL13" s="4">
        <f>HUNGARY2009ttl!AL9/HUNGARY2009ttl!$BE$38</f>
        <v>4.3606395604688696E-3</v>
      </c>
      <c r="AM13" s="4">
        <f>HUNGARY2009ttl!AM9/HUNGARY2009ttl!$BE$39</f>
        <v>1.3869098508596945E-3</v>
      </c>
      <c r="AN13" s="4">
        <f>HUNGARY2009ttl!AN9/HUNGARY2009ttl!$BE$40</f>
        <v>1.2817740988973661E-3</v>
      </c>
      <c r="AO13" s="4">
        <f>HUNGARY2009ttl!AO9/HUNGARY2009ttl!$BE$41</f>
        <v>1.8176926936024486E-4</v>
      </c>
      <c r="AP13" s="4">
        <f>HUNGARY2009ttl!AP9/HUNGARY2009ttl!$BE$42</f>
        <v>8.4865629420084867E-5</v>
      </c>
      <c r="AQ13" s="4">
        <f>HUNGARY2009ttl!AQ9/HUNGARY2009ttl!$BE$43</f>
        <v>3.6244563315502676E-4</v>
      </c>
      <c r="AR13" s="4">
        <f>HUNGARY2009ttl!AR9/HUNGARY2009ttl!$BE$44</f>
        <v>4.4624595589602461E-4</v>
      </c>
      <c r="AS13" s="4">
        <f>HUNGARY2009ttl!AS9/HUNGARY2009ttl!$BE$45</f>
        <v>1.3511959521619135E-3</v>
      </c>
      <c r="AT13" s="4">
        <f>HUNGARY2009ttl!AT9/HUNGARY2009ttl!$BE$46</f>
        <v>0</v>
      </c>
    </row>
    <row r="14" spans="1:46" x14ac:dyDescent="0.3">
      <c r="A14" s="14" t="s">
        <v>62</v>
      </c>
      <c r="B14" s="4">
        <f>HUNGARY2009ttl!B10/HUNGARY2009ttl!$BE$2</f>
        <v>2.2084889385983204E-3</v>
      </c>
      <c r="C14" s="4">
        <f>HUNGARY2009ttl!C10/HUNGARY2009ttl!$BE$3</f>
        <v>2.1141649048625794E-3</v>
      </c>
      <c r="D14" s="4">
        <f>HUNGARY2009ttl!D10/HUNGARY2009ttl!$BE$4</f>
        <v>0</v>
      </c>
      <c r="E14" s="4">
        <f>HUNGARY2009ttl!E10/HUNGARY2009ttl!$BE$5</f>
        <v>1.2341869793273679E-3</v>
      </c>
      <c r="F14" s="4">
        <f>HUNGARY2009ttl!F10/HUNGARY2009ttl!$BE$6</f>
        <v>3.8971161340607956E-4</v>
      </c>
      <c r="G14" s="4">
        <f>HUNGARY2009ttl!G10/HUNGARY2009ttl!$BE$7</f>
        <v>1.9874706470248877E-2</v>
      </c>
      <c r="H14" s="4">
        <f>HUNGARY2009ttl!H10/HUNGARY2009ttl!$BE$8</f>
        <v>6.0289638883709367E-3</v>
      </c>
      <c r="I14" s="4">
        <f>HUNGARY2009ttl!I10/HUNGARY2009ttl!$BE$9</f>
        <v>2.1598905394839718E-2</v>
      </c>
      <c r="J14" s="4">
        <f>HUNGARY2009ttl!J10/HUNGARY2009ttl!$BE$10</f>
        <v>0.31988142292490124</v>
      </c>
      <c r="K14" s="4">
        <f>HUNGARY2009ttl!K10/HUNGARY2009ttl!$BE$11</f>
        <v>4.290712258234867E-4</v>
      </c>
      <c r="L14" s="4">
        <f>HUNGARY2009ttl!L10/HUNGARY2009ttl!$BE$12</f>
        <v>1.0726514016691637E-2</v>
      </c>
      <c r="M14" s="4">
        <f>HUNGARY2009ttl!M10/HUNGARY2009ttl!$BE$13</f>
        <v>7.5472832787082424E-3</v>
      </c>
      <c r="N14" s="4">
        <f>HUNGARY2009ttl!N10/HUNGARY2009ttl!$BE$14</f>
        <v>1.1605793143804553E-2</v>
      </c>
      <c r="O14" s="4">
        <f>HUNGARY2009ttl!O10/HUNGARY2009ttl!$BE$15</f>
        <v>6.7863067410646972E-3</v>
      </c>
      <c r="P14" s="4">
        <f>HUNGARY2009ttl!P10/HUNGARY2009ttl!$BE$16</f>
        <v>1.6972756549743227E-3</v>
      </c>
      <c r="Q14" s="4">
        <f>HUNGARY2009ttl!Q10/HUNGARY2009ttl!$BE$17</f>
        <v>2.9110301132610874E-3</v>
      </c>
      <c r="R14" s="4">
        <f>HUNGARY2009ttl!R10/HUNGARY2009ttl!$BE$18</f>
        <v>3.133013537777824E-3</v>
      </c>
      <c r="S14" s="4">
        <f>HUNGARY2009ttl!S10/HUNGARY2009ttl!$BE$19</f>
        <v>9.7139119691867972E-3</v>
      </c>
      <c r="T14" s="4">
        <f>HUNGARY2009ttl!T10/HUNGARY2009ttl!$BE$20</f>
        <v>2.4342820398977286E-3</v>
      </c>
      <c r="U14" s="4">
        <f>HUNGARY2009ttl!U10/HUNGARY2009ttl!$BE$21</f>
        <v>1.5586933172661306E-3</v>
      </c>
      <c r="V14" s="4">
        <f>HUNGARY2009ttl!V10/HUNGARY2009ttl!$BE$22</f>
        <v>2.2892819979188346E-3</v>
      </c>
      <c r="W14" s="4">
        <f>HUNGARY2009ttl!W10/HUNGARY2009ttl!$BE$23</f>
        <v>8.0339797833459542E-3</v>
      </c>
      <c r="X14" s="4">
        <f>HUNGARY2009ttl!X10/HUNGARY2009ttl!$BE$24</f>
        <v>1.5989569880570224E-3</v>
      </c>
      <c r="Y14" s="4">
        <f>HUNGARY2009ttl!Y10/HUNGARY2009ttl!$BE$25</f>
        <v>1.3203741059966993E-3</v>
      </c>
      <c r="Z14" s="4">
        <f>HUNGARY2009ttl!Z10/HUNGARY2009ttl!$BE$26</f>
        <v>1.0754940987499125E-3</v>
      </c>
      <c r="AA14" s="4">
        <f>HUNGARY2009ttl!AA10/HUNGARY2009ttl!$BE$27</f>
        <v>1.398466895603845E-2</v>
      </c>
      <c r="AB14" s="4">
        <f>HUNGARY2009ttl!AB10/HUNGARY2009ttl!$BE$28</f>
        <v>1.4252265092130709E-3</v>
      </c>
      <c r="AC14" s="4">
        <f>HUNGARY2009ttl!AC10/HUNGARY2009ttl!$BE$29</f>
        <v>5.7110222729868647E-4</v>
      </c>
      <c r="AD14" s="4">
        <f>HUNGARY2009ttl!AD10/HUNGARY2009ttl!$BE$30</f>
        <v>7.7512703470846605E-4</v>
      </c>
      <c r="AE14" s="4">
        <f>HUNGARY2009ttl!AE10/HUNGARY2009ttl!$BE$31</f>
        <v>2.5814930417028463E-3</v>
      </c>
      <c r="AF14" s="4">
        <f>HUNGARY2009ttl!AF10/HUNGARY2009ttl!$BE$32</f>
        <v>6.4600787322095501E-3</v>
      </c>
      <c r="AG14" s="4">
        <f>HUNGARY2009ttl!AG10/HUNGARY2009ttl!$BE$33</f>
        <v>2.1291959045379645E-3</v>
      </c>
      <c r="AH14" s="4">
        <f>HUNGARY2009ttl!AH10/HUNGARY2009ttl!$BE$34</f>
        <v>7.9454420917835569E-2</v>
      </c>
      <c r="AI14" s="4">
        <f>HUNGARY2009ttl!AI10/HUNGARY2009ttl!$BE$35</f>
        <v>1.4079955682762438E-3</v>
      </c>
      <c r="AJ14" s="4">
        <f>HUNGARY2009ttl!AJ10/HUNGARY2009ttl!$BE$36</f>
        <v>3.3895432590458426E-3</v>
      </c>
      <c r="AK14" s="4">
        <f>HUNGARY2009ttl!AK10/HUNGARY2009ttl!$BE$37</f>
        <v>8.0495176101359981E-3</v>
      </c>
      <c r="AL14" s="4">
        <f>HUNGARY2009ttl!AL10/HUNGARY2009ttl!$BE$38</f>
        <v>3.8672338609662751E-3</v>
      </c>
      <c r="AM14" s="4">
        <f>HUNGARY2009ttl!AM10/HUNGARY2009ttl!$BE$39</f>
        <v>5.3956492827966201E-3</v>
      </c>
      <c r="AN14" s="4">
        <f>HUNGARY2009ttl!AN10/HUNGARY2009ttl!$BE$40</f>
        <v>6.0073508972418709E-3</v>
      </c>
      <c r="AO14" s="4">
        <f>HUNGARY2009ttl!AO10/HUNGARY2009ttl!$BE$41</f>
        <v>5.4458073100329364E-3</v>
      </c>
      <c r="AP14" s="4">
        <f>HUNGARY2009ttl!AP10/HUNGARY2009ttl!$BE$42</f>
        <v>3.4653465346534654E-3</v>
      </c>
      <c r="AQ14" s="4">
        <f>HUNGARY2009ttl!AQ10/HUNGARY2009ttl!$BE$43</f>
        <v>1.7122431635254712E-3</v>
      </c>
      <c r="AR14" s="4">
        <f>HUNGARY2009ttl!AR10/HUNGARY2009ttl!$BE$44</f>
        <v>4.3137109069949046E-3</v>
      </c>
      <c r="AS14" s="4">
        <f>HUNGARY2009ttl!AS10/HUNGARY2009ttl!$BE$45</f>
        <v>4.3123275068997231E-3</v>
      </c>
      <c r="AT14" s="4">
        <f>HUNGARY2009ttl!AT10/HUNGARY2009ttl!$BE$46</f>
        <v>0</v>
      </c>
    </row>
    <row r="15" spans="1:46" x14ac:dyDescent="0.3">
      <c r="A15" s="14" t="s">
        <v>63</v>
      </c>
      <c r="B15" s="4">
        <f>HUNGARY2009ttl!B11/HUNGARY2009ttl!$BE$2</f>
        <v>2.3838410646243671E-2</v>
      </c>
      <c r="C15" s="4">
        <f>HUNGARY2009ttl!C11/HUNGARY2009ttl!$BE$3</f>
        <v>2.9598308668076105E-2</v>
      </c>
      <c r="D15" s="4">
        <f>HUNGARY2009ttl!D11/HUNGARY2009ttl!$BE$4</f>
        <v>2.2556390977443781E-2</v>
      </c>
      <c r="E15" s="4">
        <f>HUNGARY2009ttl!E11/HUNGARY2009ttl!$BE$5</f>
        <v>3.2705954952175244E-2</v>
      </c>
      <c r="F15" s="4">
        <f>HUNGARY2009ttl!F11/HUNGARY2009ttl!$BE$6</f>
        <v>3.0787217459080286E-2</v>
      </c>
      <c r="G15" s="4">
        <f>HUNGARY2009ttl!G11/HUNGARY2009ttl!$BE$7</f>
        <v>8.6779176247856905E-3</v>
      </c>
      <c r="H15" s="4">
        <f>HUNGARY2009ttl!H11/HUNGARY2009ttl!$BE$8</f>
        <v>5.2831126856858731E-3</v>
      </c>
      <c r="I15" s="4">
        <f>HUNGARY2009ttl!I11/HUNGARY2009ttl!$BE$9</f>
        <v>9.5777951524628618E-3</v>
      </c>
      <c r="J15" s="4">
        <f>HUNGARY2009ttl!J11/HUNGARY2009ttl!$BE$10</f>
        <v>6.4031620553359689E-3</v>
      </c>
      <c r="K15" s="4">
        <f>HUNGARY2009ttl!K11/HUNGARY2009ttl!$BE$11</f>
        <v>8.6012278038154338E-2</v>
      </c>
      <c r="L15" s="4">
        <f>HUNGARY2009ttl!L11/HUNGARY2009ttl!$BE$12</f>
        <v>0.14059490691204798</v>
      </c>
      <c r="M15" s="4">
        <f>HUNGARY2009ttl!M11/HUNGARY2009ttl!$BE$13</f>
        <v>9.4416213128063267E-3</v>
      </c>
      <c r="N15" s="4">
        <f>HUNGARY2009ttl!N11/HUNGARY2009ttl!$BE$14</f>
        <v>1.3727020041936898E-2</v>
      </c>
      <c r="O15" s="4">
        <f>HUNGARY2009ttl!O11/HUNGARY2009ttl!$BE$15</f>
        <v>2.5637158799577744E-2</v>
      </c>
      <c r="P15" s="4">
        <f>HUNGARY2009ttl!P11/HUNGARY2009ttl!$BE$16</f>
        <v>5.326834363304029E-2</v>
      </c>
      <c r="Q15" s="4">
        <f>HUNGARY2009ttl!Q11/HUNGARY2009ttl!$BE$17</f>
        <v>4.8924875853127514E-3</v>
      </c>
      <c r="R15" s="4">
        <f>HUNGARY2009ttl!R11/HUNGARY2009ttl!$BE$18</f>
        <v>2.3800371749169353E-3</v>
      </c>
      <c r="S15" s="4">
        <f>HUNGARY2009ttl!S11/HUNGARY2009ttl!$BE$19</f>
        <v>5.5231220173929917E-3</v>
      </c>
      <c r="T15" s="4">
        <f>HUNGARY2009ttl!T11/HUNGARY2009ttl!$BE$20</f>
        <v>4.5776750310026464E-3</v>
      </c>
      <c r="U15" s="4">
        <f>HUNGARY2009ttl!U11/HUNGARY2009ttl!$BE$21</f>
        <v>2.7440861341786081E-3</v>
      </c>
      <c r="V15" s="4">
        <f>HUNGARY2009ttl!V11/HUNGARY2009ttl!$BE$22</f>
        <v>4.9947970863683661E-3</v>
      </c>
      <c r="W15" s="4">
        <f>HUNGARY2009ttl!W11/HUNGARY2009ttl!$BE$23</f>
        <v>5.334035757795264E-3</v>
      </c>
      <c r="X15" s="4">
        <f>HUNGARY2009ttl!X11/HUNGARY2009ttl!$BE$24</f>
        <v>2.2754387906965316E-2</v>
      </c>
      <c r="Y15" s="4">
        <f>HUNGARY2009ttl!Y11/HUNGARY2009ttl!$BE$25</f>
        <v>1.844856042545388E-2</v>
      </c>
      <c r="Z15" s="4">
        <f>HUNGARY2009ttl!Z11/HUNGARY2009ttl!$BE$26</f>
        <v>1.8297367134576435E-2</v>
      </c>
      <c r="AA15" s="4">
        <f>HUNGARY2009ttl!AA11/HUNGARY2009ttl!$BE$27</f>
        <v>1.4409418213729017E-2</v>
      </c>
      <c r="AB15" s="4">
        <f>HUNGARY2009ttl!AB11/HUNGARY2009ttl!$BE$28</f>
        <v>9.3072381146289296E-2</v>
      </c>
      <c r="AC15" s="4">
        <f>HUNGARY2009ttl!AC11/HUNGARY2009ttl!$BE$29</f>
        <v>0.15248429468874927</v>
      </c>
      <c r="AD15" s="4">
        <f>HUNGARY2009ttl!AD11/HUNGARY2009ttl!$BE$30</f>
        <v>0.1022306433554388</v>
      </c>
      <c r="AE15" s="4">
        <f>HUNGARY2009ttl!AE11/HUNGARY2009ttl!$BE$31</f>
        <v>2.6143484076881555E-2</v>
      </c>
      <c r="AF15" s="4">
        <f>HUNGARY2009ttl!AF11/HUNGARY2009ttl!$BE$32</f>
        <v>8.2769758756434855E-3</v>
      </c>
      <c r="AG15" s="4">
        <f>HUNGARY2009ttl!AG11/HUNGARY2009ttl!$BE$33</f>
        <v>4.7953194719594153E-3</v>
      </c>
      <c r="AH15" s="4">
        <f>HUNGARY2009ttl!AH11/HUNGARY2009ttl!$BE$34</f>
        <v>1.7570505375383426E-3</v>
      </c>
      <c r="AI15" s="4">
        <f>HUNGARY2009ttl!AI11/HUNGARY2009ttl!$BE$35</f>
        <v>2.100452405133413E-3</v>
      </c>
      <c r="AJ15" s="4">
        <f>HUNGARY2009ttl!AJ11/HUNGARY2009ttl!$BE$36</f>
        <v>2.6551422195859099E-3</v>
      </c>
      <c r="AK15" s="4">
        <f>HUNGARY2009ttl!AK11/HUNGARY2009ttl!$BE$37</f>
        <v>3.4484094695648804E-3</v>
      </c>
      <c r="AL15" s="4">
        <f>HUNGARY2009ttl!AL11/HUNGARY2009ttl!$BE$38</f>
        <v>3.7938897704996736E-3</v>
      </c>
      <c r="AM15" s="4">
        <f>HUNGARY2009ttl!AM11/HUNGARY2009ttl!$BE$39</f>
        <v>6.0606060606060623E-3</v>
      </c>
      <c r="AN15" s="4">
        <f>HUNGARY2009ttl!AN11/HUNGARY2009ttl!$BE$40</f>
        <v>7.9377335763041682E-3</v>
      </c>
      <c r="AO15" s="4">
        <f>HUNGARY2009ttl!AO11/HUNGARY2009ttl!$BE$41</f>
        <v>4.8350625649825132E-3</v>
      </c>
      <c r="AP15" s="4">
        <f>HUNGARY2009ttl!AP11/HUNGARY2009ttl!$BE$42</f>
        <v>4.3281471004243286E-3</v>
      </c>
      <c r="AQ15" s="4">
        <f>HUNGARY2009ttl!AQ11/HUNGARY2009ttl!$BE$43</f>
        <v>7.2364145378193273E-3</v>
      </c>
      <c r="AR15" s="4">
        <f>HUNGARY2009ttl!AR11/HUNGARY2009ttl!$BE$44</f>
        <v>8.664608976981146E-3</v>
      </c>
      <c r="AS15" s="4">
        <f>HUNGARY2009ttl!AS11/HUNGARY2009ttl!$BE$45</f>
        <v>6.9859705611775517E-3</v>
      </c>
      <c r="AT15" s="4">
        <f>HUNGARY2009ttl!AT11/HUNGARY2009ttl!$BE$46</f>
        <v>0</v>
      </c>
    </row>
    <row r="16" spans="1:46" x14ac:dyDescent="0.3">
      <c r="A16" s="14" t="s">
        <v>64</v>
      </c>
      <c r="B16" s="4">
        <f>HUNGARY2009ttl!B12/HUNGARY2009ttl!$BE$2</f>
        <v>4.9705218858410262E-2</v>
      </c>
      <c r="C16" s="4">
        <f>HUNGARY2009ttl!C12/HUNGARY2009ttl!$BE$3</f>
        <v>2.1141649048625794E-3</v>
      </c>
      <c r="D16" s="4">
        <f>HUNGARY2009ttl!D12/HUNGARY2009ttl!$BE$4</f>
        <v>4.699248120300788E-3</v>
      </c>
      <c r="E16" s="4">
        <f>HUNGARY2009ttl!E12/HUNGARY2009ttl!$BE$5</f>
        <v>1.2958963282937363E-2</v>
      </c>
      <c r="F16" s="4">
        <f>HUNGARY2009ttl!F12/HUNGARY2009ttl!$BE$6</f>
        <v>1.8706157443491817E-2</v>
      </c>
      <c r="G16" s="4">
        <f>HUNGARY2009ttl!G12/HUNGARY2009ttl!$BE$7</f>
        <v>2.3433627743335142E-2</v>
      </c>
      <c r="H16" s="4">
        <f>HUNGARY2009ttl!H12/HUNGARY2009ttl!$BE$8</f>
        <v>2.6415563428429364E-2</v>
      </c>
      <c r="I16" s="4">
        <f>HUNGARY2009ttl!I12/HUNGARY2009ttl!$BE$9</f>
        <v>2.9808444096950742E-2</v>
      </c>
      <c r="J16" s="4">
        <f>HUNGARY2009ttl!J12/HUNGARY2009ttl!$BE$10</f>
        <v>2.0513833992094863E-2</v>
      </c>
      <c r="K16" s="4">
        <f>HUNGARY2009ttl!K12/HUNGARY2009ttl!$BE$11</f>
        <v>3.5629414482804142E-2</v>
      </c>
      <c r="L16" s="4">
        <f>HUNGARY2009ttl!L12/HUNGARY2009ttl!$BE$12</f>
        <v>0.17512839717526221</v>
      </c>
      <c r="M16" s="4">
        <f>HUNGARY2009ttl!M12/HUNGARY2009ttl!$BE$13</f>
        <v>7.5532970502450614E-2</v>
      </c>
      <c r="N16" s="4">
        <f>HUNGARY2009ttl!N12/HUNGARY2009ttl!$BE$14</f>
        <v>0.17394060564685226</v>
      </c>
      <c r="O16" s="4">
        <f>HUNGARY2009ttl!O12/HUNGARY2009ttl!$BE$15</f>
        <v>4.6523902880410202E-2</v>
      </c>
      <c r="P16" s="4">
        <f>HUNGARY2009ttl!P12/HUNGARY2009ttl!$BE$16</f>
        <v>1.0053094264078681E-2</v>
      </c>
      <c r="Q16" s="4">
        <f>HUNGARY2009ttl!Q12/HUNGARY2009ttl!$BE$17</f>
        <v>1.0200836615377087E-2</v>
      </c>
      <c r="R16" s="4">
        <f>HUNGARY2009ttl!R12/HUNGARY2009ttl!$BE$18</f>
        <v>6.397666299832027E-3</v>
      </c>
      <c r="S16" s="4">
        <f>HUNGARY2009ttl!S12/HUNGARY2009ttl!$BE$19</f>
        <v>3.9703495554855757E-2</v>
      </c>
      <c r="T16" s="4">
        <f>HUNGARY2009ttl!T12/HUNGARY2009ttl!$BE$20</f>
        <v>7.2262963700108675E-3</v>
      </c>
      <c r="U16" s="4">
        <f>HUNGARY2009ttl!U12/HUNGARY2009ttl!$BE$21</f>
        <v>7.2433395331779008E-3</v>
      </c>
      <c r="V16" s="4">
        <f>HUNGARY2009ttl!V12/HUNGARY2009ttl!$BE$22</f>
        <v>8.1165452653485948E-3</v>
      </c>
      <c r="W16" s="4">
        <f>HUNGARY2009ttl!W12/HUNGARY2009ttl!$BE$23</f>
        <v>1.4685061407263507E-2</v>
      </c>
      <c r="X16" s="4">
        <f>HUNGARY2009ttl!X12/HUNGARY2009ttl!$BE$24</f>
        <v>5.8423428409775813E-3</v>
      </c>
      <c r="Y16" s="4">
        <f>HUNGARY2009ttl!Y12/HUNGARY2009ttl!$BE$25</f>
        <v>9.3159728589767114E-3</v>
      </c>
      <c r="Z16" s="4">
        <f>HUNGARY2009ttl!Z12/HUNGARY2009ttl!$BE$26</f>
        <v>1.082477826663873E-2</v>
      </c>
      <c r="AA16" s="4">
        <f>HUNGARY2009ttl!AA12/HUNGARY2009ttl!$BE$27</f>
        <v>6.5195003987033118E-3</v>
      </c>
      <c r="AB16" s="4">
        <f>HUNGARY2009ttl!AB12/HUNGARY2009ttl!$BE$28</f>
        <v>3.4103634327598488E-3</v>
      </c>
      <c r="AC16" s="4">
        <f>HUNGARY2009ttl!AC12/HUNGARY2009ttl!$BE$29</f>
        <v>7.4243289548829236E-3</v>
      </c>
      <c r="AD16" s="4">
        <f>HUNGARY2009ttl!AD12/HUNGARY2009ttl!$BE$30</f>
        <v>2.2392558780466795E-3</v>
      </c>
      <c r="AE16" s="4">
        <f>HUNGARY2009ttl!AE12/HUNGARY2009ttl!$BE$31</f>
        <v>2.4641524488981715E-3</v>
      </c>
      <c r="AF16" s="4">
        <f>HUNGARY2009ttl!AF12/HUNGARY2009ttl!$BE$32</f>
        <v>2.2206520641970331E-3</v>
      </c>
      <c r="AG16" s="4">
        <f>HUNGARY2009ttl!AG12/HUNGARY2009ttl!$BE$33</f>
        <v>4.5175982670196809E-3</v>
      </c>
      <c r="AH16" s="4">
        <f>HUNGARY2009ttl!AH12/HUNGARY2009ttl!$BE$34</f>
        <v>2.2633193364900682E-3</v>
      </c>
      <c r="AI16" s="4">
        <f>HUNGARY2009ttl!AI12/HUNGARY2009ttl!$BE$35</f>
        <v>4.3855599667620709E-4</v>
      </c>
      <c r="AJ16" s="4">
        <f>HUNGARY2009ttl!AJ12/HUNGARY2009ttl!$BE$36</f>
        <v>1.1580939468406627E-3</v>
      </c>
      <c r="AK16" s="4">
        <f>HUNGARY2009ttl!AK12/HUNGARY2009ttl!$BE$37</f>
        <v>1.0170870626525631E-3</v>
      </c>
      <c r="AL16" s="4">
        <f>HUNGARY2009ttl!AL12/HUNGARY2009ttl!$BE$38</f>
        <v>3.6338663003907239E-3</v>
      </c>
      <c r="AM16" s="4">
        <f>HUNGARY2009ttl!AM12/HUNGARY2009ttl!$BE$39</f>
        <v>5.4906431081979687E-3</v>
      </c>
      <c r="AN16" s="4">
        <f>HUNGARY2009ttl!AN12/HUNGARY2009ttl!$BE$40</f>
        <v>7.4744417333292177E-3</v>
      </c>
      <c r="AO16" s="4">
        <f>HUNGARY2009ttl!AO12/HUNGARY2009ttl!$BE$41</f>
        <v>1.3014679686193531E-3</v>
      </c>
      <c r="AP16" s="4">
        <f>HUNGARY2009ttl!AP12/HUNGARY2009ttl!$BE$42</f>
        <v>3.1258840169731262E-3</v>
      </c>
      <c r="AQ16" s="4">
        <f>HUNGARY2009ttl!AQ12/HUNGARY2009ttl!$BE$43</f>
        <v>1.8184772284157377E-2</v>
      </c>
      <c r="AR16" s="4">
        <f>HUNGARY2009ttl!AR12/HUNGARY2009ttl!$BE$44</f>
        <v>9.6686623777471996E-3</v>
      </c>
      <c r="AS16" s="4">
        <f>HUNGARY2009ttl!AS12/HUNGARY2009ttl!$BE$45</f>
        <v>9.1421343146274141E-3</v>
      </c>
      <c r="AT16" s="4">
        <f>HUNGARY2009ttl!AT12/HUNGARY2009ttl!$BE$46</f>
        <v>0</v>
      </c>
    </row>
    <row r="17" spans="1:46" x14ac:dyDescent="0.3">
      <c r="A17" s="14" t="s">
        <v>65</v>
      </c>
      <c r="B17" s="4">
        <f>HUNGARY2009ttl!B13/HUNGARY2009ttl!$BE$2</f>
        <v>4.4833273302875773E-3</v>
      </c>
      <c r="C17" s="4">
        <f>HUNGARY2009ttl!C13/HUNGARY2009ttl!$BE$3</f>
        <v>2.1141649048625794E-3</v>
      </c>
      <c r="D17" s="4">
        <f>HUNGARY2009ttl!D13/HUNGARY2009ttl!$BE$4</f>
        <v>9.398496240601577E-4</v>
      </c>
      <c r="E17" s="4">
        <f>HUNGARY2009ttl!E13/HUNGARY2009ttl!$BE$5</f>
        <v>9.2564023449552579E-4</v>
      </c>
      <c r="F17" s="4">
        <f>HUNGARY2009ttl!F13/HUNGARY2009ttl!$BE$6</f>
        <v>1.1691348402182386E-3</v>
      </c>
      <c r="G17" s="4">
        <f>HUNGARY2009ttl!G13/HUNGARY2009ttl!$BE$7</f>
        <v>2.7545075606763571E-3</v>
      </c>
      <c r="H17" s="4">
        <f>HUNGARY2009ttl!H13/HUNGARY2009ttl!$BE$8</f>
        <v>2.0510908073839268E-3</v>
      </c>
      <c r="I17" s="4">
        <f>HUNGARY2009ttl!I13/HUNGARY2009ttl!$BE$9</f>
        <v>1.7591868647380765E-3</v>
      </c>
      <c r="J17" s="4">
        <f>HUNGARY2009ttl!J13/HUNGARY2009ttl!$BE$10</f>
        <v>1.4624505928853759E-3</v>
      </c>
      <c r="K17" s="4">
        <f>HUNGARY2009ttl!K13/HUNGARY2009ttl!$BE$11</f>
        <v>1.8153013400224436E-3</v>
      </c>
      <c r="L17" s="4">
        <f>HUNGARY2009ttl!L13/HUNGARY2009ttl!$BE$12</f>
        <v>8.3190669805264308E-3</v>
      </c>
      <c r="M17" s="4">
        <f>HUNGARY2009ttl!M13/HUNGARY2009ttl!$BE$13</f>
        <v>7.0300989265417821E-2</v>
      </c>
      <c r="N17" s="4">
        <f>HUNGARY2009ttl!N13/HUNGARY2009ttl!$BE$14</f>
        <v>7.7534500414492601E-3</v>
      </c>
      <c r="O17" s="4">
        <f>HUNGARY2009ttl!O13/HUNGARY2009ttl!$BE$15</f>
        <v>2.3752073593726439E-3</v>
      </c>
      <c r="P17" s="4">
        <f>HUNGARY2009ttl!P13/HUNGARY2009ttl!$BE$16</f>
        <v>2.2630342066324305E-3</v>
      </c>
      <c r="Q17" s="4">
        <f>HUNGARY2009ttl!Q13/HUNGARY2009ttl!$BE$17</f>
        <v>9.0511020328285906E-4</v>
      </c>
      <c r="R17" s="4">
        <f>HUNGARY2009ttl!R13/HUNGARY2009ttl!$BE$18</f>
        <v>1.1584251736321367E-3</v>
      </c>
      <c r="S17" s="4">
        <f>HUNGARY2009ttl!S13/HUNGARY2009ttl!$BE$19</f>
        <v>2.4466461568275972E-3</v>
      </c>
      <c r="T17" s="4">
        <f>HUNGARY2009ttl!T13/HUNGARY2009ttl!$BE$20</f>
        <v>1.2860357946629509E-3</v>
      </c>
      <c r="U17" s="4">
        <f>HUNGARY2009ttl!U13/HUNGARY2009ttl!$BE$21</f>
        <v>1.7944620543315956E-3</v>
      </c>
      <c r="V17" s="4">
        <f>HUNGARY2009ttl!V13/HUNGARY2009ttl!$BE$22</f>
        <v>8.3246618106139442E-4</v>
      </c>
      <c r="W17" s="4">
        <f>HUNGARY2009ttl!W13/HUNGARY2009ttl!$BE$23</f>
        <v>1.2841197194692303E-3</v>
      </c>
      <c r="X17" s="4">
        <f>HUNGARY2009ttl!X13/HUNGARY2009ttl!$BE$24</f>
        <v>6.3958279522280891E-4</v>
      </c>
      <c r="Y17" s="4">
        <f>HUNGARY2009ttl!Y13/HUNGARY2009ttl!$BE$25</f>
        <v>7.7021822849807466E-4</v>
      </c>
      <c r="Z17" s="4">
        <f>HUNGARY2009ttl!Z13/HUNGARY2009ttl!$BE$26</f>
        <v>9.7073818004050558E-4</v>
      </c>
      <c r="AA17" s="4">
        <f>HUNGARY2009ttl!AA13/HUNGARY2009ttl!$BE$27</f>
        <v>9.6169643250694221E-4</v>
      </c>
      <c r="AB17" s="4">
        <f>HUNGARY2009ttl!AB13/HUNGARY2009ttl!$BE$28</f>
        <v>5.0900946757609681E-4</v>
      </c>
      <c r="AC17" s="4">
        <f>HUNGARY2009ttl!AC13/HUNGARY2009ttl!$BE$29</f>
        <v>1.7133066818960591E-3</v>
      </c>
      <c r="AD17" s="4">
        <f>HUNGARY2009ttl!AD13/HUNGARY2009ttl!$BE$30</f>
        <v>1.3780036172594953E-3</v>
      </c>
      <c r="AE17" s="4">
        <f>HUNGARY2009ttl!AE13/HUNGARY2009ttl!$BE$31</f>
        <v>3.9895801553589444E-4</v>
      </c>
      <c r="AF17" s="4">
        <f>HUNGARY2009ttl!AF13/HUNGARY2009ttl!$BE$32</f>
        <v>3.0281619057232265E-4</v>
      </c>
      <c r="AG17" s="4">
        <f>HUNGARY2009ttl!AG13/HUNGARY2009ttl!$BE$33</f>
        <v>7.7761937383125654E-4</v>
      </c>
      <c r="AH17" s="4">
        <f>HUNGARY2009ttl!AH13/HUNGARY2009ttl!$BE$34</f>
        <v>4.764882813663302E-4</v>
      </c>
      <c r="AI17" s="4">
        <f>HUNGARY2009ttl!AI13/HUNGARY2009ttl!$BE$35</f>
        <v>3.0006462930477328E-4</v>
      </c>
      <c r="AJ17" s="4">
        <f>HUNGARY2009ttl!AJ13/HUNGARY2009ttl!$BE$36</f>
        <v>9.603705900629887E-4</v>
      </c>
      <c r="AK17" s="4">
        <f>HUNGARY2009ttl!AK13/HUNGARY2009ttl!$BE$37</f>
        <v>2.7122321670735011E-4</v>
      </c>
      <c r="AL17" s="4">
        <f>HUNGARY2009ttl!AL13/HUNGARY2009ttl!$BE$38</f>
        <v>3.60052807745136E-4</v>
      </c>
      <c r="AM17" s="4">
        <f>HUNGARY2009ttl!AM13/HUNGARY2009ttl!$BE$39</f>
        <v>1.4344067635603691E-3</v>
      </c>
      <c r="AN17" s="4">
        <f>HUNGARY2009ttl!AN13/HUNGARY2009ttl!$BE$40</f>
        <v>9.8835593167989665E-4</v>
      </c>
      <c r="AO17" s="4">
        <f>HUNGARY2009ttl!AO13/HUNGARY2009ttl!$BE$41</f>
        <v>3.9262162181812895E-4</v>
      </c>
      <c r="AP17" s="4">
        <f>HUNGARY2009ttl!AP13/HUNGARY2009ttl!$BE$42</f>
        <v>4.1018387553041016E-4</v>
      </c>
      <c r="AQ17" s="4">
        <f>HUNGARY2009ttl!AQ13/HUNGARY2009ttl!$BE$43</f>
        <v>4.498075288706694E-2</v>
      </c>
      <c r="AR17" s="4">
        <f>HUNGARY2009ttl!AR13/HUNGARY2009ttl!$BE$44</f>
        <v>1.6734223346100924E-3</v>
      </c>
      <c r="AS17" s="4">
        <f>HUNGARY2009ttl!AS13/HUNGARY2009ttl!$BE$45</f>
        <v>1.2074517019319225E-3</v>
      </c>
      <c r="AT17" s="4">
        <f>HUNGARY2009ttl!AT13/HUNGARY2009ttl!$BE$46</f>
        <v>0</v>
      </c>
    </row>
    <row r="18" spans="1:46" x14ac:dyDescent="0.3">
      <c r="A18" s="14" t="s">
        <v>66</v>
      </c>
      <c r="B18" s="4">
        <f>HUNGARY2009ttl!B14/HUNGARY2009ttl!$BE$2</f>
        <v>4.3411499308069982E-3</v>
      </c>
      <c r="C18" s="4">
        <f>HUNGARY2009ttl!C14/HUNGARY2009ttl!$BE$3</f>
        <v>4.2283298097251587E-3</v>
      </c>
      <c r="D18" s="4">
        <f>HUNGARY2009ttl!D14/HUNGARY2009ttl!$BE$4</f>
        <v>1.8796992481203154E-3</v>
      </c>
      <c r="E18" s="4">
        <f>HUNGARY2009ttl!E14/HUNGARY2009ttl!$BE$5</f>
        <v>2.1598272138228934E-3</v>
      </c>
      <c r="F18" s="4">
        <f>HUNGARY2009ttl!F14/HUNGARY2009ttl!$BE$6</f>
        <v>3.5074045206547159E-3</v>
      </c>
      <c r="G18" s="4">
        <f>HUNGARY2009ttl!G14/HUNGARY2009ttl!$BE$7</f>
        <v>1.7209578210951398E-2</v>
      </c>
      <c r="H18" s="4">
        <f>HUNGARY2009ttl!H14/HUNGARY2009ttl!$BE$8</f>
        <v>3.2133755982348196E-2</v>
      </c>
      <c r="I18" s="4">
        <f>HUNGARY2009ttl!I14/HUNGARY2009ttl!$BE$9</f>
        <v>3.1567630961688818E-2</v>
      </c>
      <c r="J18" s="4">
        <f>HUNGARY2009ttl!J14/HUNGARY2009ttl!$BE$10</f>
        <v>1.9762845849802375E-2</v>
      </c>
      <c r="K18" s="4">
        <f>HUNGARY2009ttl!K14/HUNGARY2009ttl!$BE$11</f>
        <v>9.2415340946597126E-4</v>
      </c>
      <c r="L18" s="4">
        <f>HUNGARY2009ttl!L14/HUNGARY2009ttl!$BE$12</f>
        <v>1.9179328054782802E-2</v>
      </c>
      <c r="M18" s="4">
        <f>HUNGARY2009ttl!M14/HUNGARY2009ttl!$BE$13</f>
        <v>1.1456234777640798E-2</v>
      </c>
      <c r="N18" s="4">
        <f>HUNGARY2009ttl!N14/HUNGARY2009ttl!$BE$14</f>
        <v>0.11069390939679133</v>
      </c>
      <c r="O18" s="4">
        <f>HUNGARY2009ttl!O14/HUNGARY2009ttl!$BE$15</f>
        <v>1.1235107826873777E-2</v>
      </c>
      <c r="P18" s="4">
        <f>HUNGARY2009ttl!P14/HUNGARY2009ttl!$BE$16</f>
        <v>2.7417529811123676E-3</v>
      </c>
      <c r="Q18" s="4">
        <f>HUNGARY2009ttl!Q14/HUNGARY2009ttl!$BE$17</f>
        <v>1.0347611242936469E-2</v>
      </c>
      <c r="R18" s="4">
        <f>HUNGARY2009ttl!R14/HUNGARY2009ttl!$BE$18</f>
        <v>2.3110582213961124E-2</v>
      </c>
      <c r="S18" s="4">
        <f>HUNGARY2009ttl!S14/HUNGARY2009ttl!$BE$19</f>
        <v>5.3051040430222157E-2</v>
      </c>
      <c r="T18" s="4">
        <f>HUNGARY2009ttl!T14/HUNGARY2009ttl!$BE$20</f>
        <v>1.1803971401013514E-2</v>
      </c>
      <c r="U18" s="4">
        <f>HUNGARY2009ttl!U14/HUNGARY2009ttl!$BE$21</f>
        <v>2.8233306263589452E-2</v>
      </c>
      <c r="V18" s="4">
        <f>HUNGARY2009ttl!V14/HUNGARY2009ttl!$BE$22</f>
        <v>1.1446409989594173E-2</v>
      </c>
      <c r="W18" s="4">
        <f>HUNGARY2009ttl!W14/HUNGARY2009ttl!$BE$23</f>
        <v>3.437489710579171E-2</v>
      </c>
      <c r="X18" s="4">
        <f>HUNGARY2009ttl!X14/HUNGARY2009ttl!$BE$24</f>
        <v>1.7711523560016247E-3</v>
      </c>
      <c r="Y18" s="4">
        <f>HUNGARY2009ttl!Y14/HUNGARY2009ttl!$BE$25</f>
        <v>1.2103429304969743E-2</v>
      </c>
      <c r="Z18" s="4">
        <f>HUNGARY2009ttl!Z14/HUNGARY2009ttl!$BE$26</f>
        <v>2.3507228158390948E-2</v>
      </c>
      <c r="AA18" s="4">
        <f>HUNGARY2009ttl!AA14/HUNGARY2009ttl!$BE$27</f>
        <v>3.9509695102160208E-3</v>
      </c>
      <c r="AB18" s="4">
        <f>HUNGARY2009ttl!AB14/HUNGARY2009ttl!$BE$28</f>
        <v>6.718924972004478E-3</v>
      </c>
      <c r="AC18" s="4">
        <f>HUNGARY2009ttl!AC14/HUNGARY2009ttl!$BE$29</f>
        <v>1.7133066818960591E-3</v>
      </c>
      <c r="AD18" s="4">
        <f>HUNGARY2009ttl!AD14/HUNGARY2009ttl!$BE$30</f>
        <v>5.1675135647231063E-4</v>
      </c>
      <c r="AE18" s="4">
        <f>HUNGARY2009ttl!AE14/HUNGARY2009ttl!$BE$31</f>
        <v>3.2151322428480905E-3</v>
      </c>
      <c r="AF18" s="4">
        <f>HUNGARY2009ttl!AF14/HUNGARY2009ttl!$BE$32</f>
        <v>1.4131422226708391E-3</v>
      </c>
      <c r="AG18" s="4">
        <f>HUNGARY2009ttl!AG14/HUNGARY2009ttl!$BE$33</f>
        <v>1.5182092536705483E-3</v>
      </c>
      <c r="AH18" s="4">
        <f>HUNGARY2009ttl!AH14/HUNGARY2009ttl!$BE$34</f>
        <v>1.072098633074243E-3</v>
      </c>
      <c r="AI18" s="4">
        <f>HUNGARY2009ttl!AI14/HUNGARY2009ttl!$BE$35</f>
        <v>6.2321115317145223E-4</v>
      </c>
      <c r="AJ18" s="4">
        <f>HUNGARY2009ttl!AJ14/HUNGARY2009ttl!$BE$36</f>
        <v>3.3895432590458422E-4</v>
      </c>
      <c r="AK18" s="4">
        <f>HUNGARY2009ttl!AK14/HUNGARY2009ttl!$BE$37</f>
        <v>1.5885931264287649E-3</v>
      </c>
      <c r="AL18" s="4">
        <f>HUNGARY2009ttl!AL14/HUNGARY2009ttl!$BE$38</f>
        <v>3.1604635346517492E-3</v>
      </c>
      <c r="AM18" s="4">
        <f>HUNGARY2009ttl!AM14/HUNGARY2009ttl!$BE$39</f>
        <v>2.7548209366391194E-3</v>
      </c>
      <c r="AN18" s="4">
        <f>HUNGARY2009ttl!AN14/HUNGARY2009ttl!$BE$40</f>
        <v>2.9032955493096964E-3</v>
      </c>
      <c r="AO18" s="4">
        <f>HUNGARY2009ttl!AO14/HUNGARY2009ttl!$BE$41</f>
        <v>1.6286526534677939E-3</v>
      </c>
      <c r="AP18" s="4">
        <f>HUNGARY2009ttl!AP14/HUNGARY2009ttl!$BE$42</f>
        <v>3.2531824611032527E-4</v>
      </c>
      <c r="AQ18" s="4">
        <f>HUNGARY2009ttl!AQ14/HUNGARY2009ttl!$BE$43</f>
        <v>5.1867219917012446E-3</v>
      </c>
      <c r="AR18" s="4">
        <f>HUNGARY2009ttl!AR14/HUNGARY2009ttl!$BE$44</f>
        <v>1.45029935666208E-3</v>
      </c>
      <c r="AS18" s="4">
        <f>HUNGARY2009ttl!AS14/HUNGARY2009ttl!$BE$45</f>
        <v>1.1499540018399261E-3</v>
      </c>
      <c r="AT18" s="4">
        <f>HUNGARY2009ttl!AT14/HUNGARY2009ttl!$BE$46</f>
        <v>0</v>
      </c>
    </row>
    <row r="19" spans="1:46" x14ac:dyDescent="0.3">
      <c r="A19" s="14" t="s">
        <v>67</v>
      </c>
      <c r="B19" s="4">
        <f>HUNGARY2009ttl!B15/HUNGARY2009ttl!$BE$2</f>
        <v>2.1231824989099732E-3</v>
      </c>
      <c r="C19" s="4">
        <f>HUNGARY2009ttl!C15/HUNGARY2009ttl!$BE$3</f>
        <v>2.1141649048625794E-3</v>
      </c>
      <c r="D19" s="4">
        <f>HUNGARY2009ttl!D15/HUNGARY2009ttl!$BE$4</f>
        <v>9.398496240601577E-4</v>
      </c>
      <c r="E19" s="4">
        <f>HUNGARY2009ttl!E15/HUNGARY2009ttl!$BE$5</f>
        <v>2.4066646096883672E-2</v>
      </c>
      <c r="F19" s="4">
        <f>HUNGARY2009ttl!F15/HUNGARY2009ttl!$BE$6</f>
        <v>1.1301636788776307E-2</v>
      </c>
      <c r="G19" s="4">
        <f>HUNGARY2009ttl!G15/HUNGARY2009ttl!$BE$7</f>
        <v>5.9315354551437776E-3</v>
      </c>
      <c r="H19" s="4">
        <f>HUNGARY2009ttl!H15/HUNGARY2009ttl!$BE$8</f>
        <v>2.4861706756168812E-3</v>
      </c>
      <c r="I19" s="4">
        <f>HUNGARY2009ttl!I15/HUNGARY2009ttl!$BE$9</f>
        <v>7.3299452697419857E-3</v>
      </c>
      <c r="J19" s="4">
        <f>HUNGARY2009ttl!J15/HUNGARY2009ttl!$BE$10</f>
        <v>9.4861660079051402E-4</v>
      </c>
      <c r="K19" s="4">
        <f>HUNGARY2009ttl!K15/HUNGARY2009ttl!$BE$11</f>
        <v>5.9409862037098152E-4</v>
      </c>
      <c r="L19" s="4">
        <f>HUNGARY2009ttl!L15/HUNGARY2009ttl!$BE$12</f>
        <v>2.8086882088594061E-3</v>
      </c>
      <c r="M19" s="4">
        <f>HUNGARY2009ttl!M15/HUNGARY2009ttl!$BE$13</f>
        <v>3.8488137835643627E-3</v>
      </c>
      <c r="N19" s="4">
        <f>HUNGARY2009ttl!N15/HUNGARY2009ttl!$BE$14</f>
        <v>4.2180718778953522E-3</v>
      </c>
      <c r="O19" s="4">
        <f>HUNGARY2009ttl!O15/HUNGARY2009ttl!$BE$15</f>
        <v>0.11287890212637612</v>
      </c>
      <c r="P19" s="4">
        <f>HUNGARY2009ttl!P15/HUNGARY2009ttl!$BE$16</f>
        <v>3.9603098616067534E-3</v>
      </c>
      <c r="Q19" s="4">
        <f>HUNGARY2009ttl!Q15/HUNGARY2009ttl!$BE$17</f>
        <v>2.5196311064360675E-3</v>
      </c>
      <c r="R19" s="4">
        <f>HUNGARY2009ttl!R15/HUNGARY2009ttl!$BE$18</f>
        <v>2.1904766919589496E-3</v>
      </c>
      <c r="S19" s="4">
        <f>HUNGARY2009ttl!S15/HUNGARY2009ttl!$BE$19</f>
        <v>7.7759744192243433E-3</v>
      </c>
      <c r="T19" s="4">
        <f>HUNGARY2009ttl!T15/HUNGARY2009ttl!$BE$20</f>
        <v>3.3988088858949417E-3</v>
      </c>
      <c r="U19" s="4">
        <f>HUNGARY2009ttl!U15/HUNGARY2009ttl!$BE$21</f>
        <v>7.5118539281691255E-3</v>
      </c>
      <c r="V19" s="4">
        <f>HUNGARY2009ttl!V15/HUNGARY2009ttl!$BE$22</f>
        <v>3.3298647242455777E-3</v>
      </c>
      <c r="W19" s="4">
        <f>HUNGARY2009ttl!W15/HUNGARY2009ttl!$BE$23</f>
        <v>3.6218761318362906E-3</v>
      </c>
      <c r="X19" s="4">
        <f>HUNGARY2009ttl!X15/HUNGARY2009ttl!$BE$24</f>
        <v>2.4722334969189347E-3</v>
      </c>
      <c r="Y19" s="4">
        <f>HUNGARY2009ttl!Y15/HUNGARY2009ttl!$BE$25</f>
        <v>3.2275811479919318E-3</v>
      </c>
      <c r="Z19" s="4">
        <f>HUNGARY2009ttl!Z15/HUNGARY2009ttl!$BE$26</f>
        <v>8.177945387247712E-2</v>
      </c>
      <c r="AA19" s="4">
        <f>HUNGARY2009ttl!AA15/HUNGARY2009ttl!$BE$27</f>
        <v>2.7688843119262375E-3</v>
      </c>
      <c r="AB19" s="4">
        <f>HUNGARY2009ttl!AB15/HUNGARY2009ttl!$BE$28</f>
        <v>6.9988801791713313E-4</v>
      </c>
      <c r="AC19" s="4">
        <f>HUNGARY2009ttl!AC15/HUNGARY2009ttl!$BE$29</f>
        <v>5.7110222729868636E-3</v>
      </c>
      <c r="AD19" s="4">
        <f>HUNGARY2009ttl!AD15/HUNGARY2009ttl!$BE$30</f>
        <v>7.7512703470846605E-4</v>
      </c>
      <c r="AE19" s="4">
        <f>HUNGARY2009ttl!AE15/HUNGARY2009ttl!$BE$31</f>
        <v>1.7366407735091877E-3</v>
      </c>
      <c r="AF19" s="4">
        <f>HUNGARY2009ttl!AF15/HUNGARY2009ttl!$BE$32</f>
        <v>2.0187746038154844E-4</v>
      </c>
      <c r="AG19" s="4">
        <f>HUNGARY2009ttl!AG15/HUNGARY2009ttl!$BE$33</f>
        <v>1.0738553257669734E-3</v>
      </c>
      <c r="AH19" s="4">
        <f>HUNGARY2009ttl!AH15/HUNGARY2009ttl!$BE$34</f>
        <v>1.489025879269782E-4</v>
      </c>
      <c r="AI19" s="4">
        <f>HUNGARY2009ttl!AI15/HUNGARY2009ttl!$BE$35</f>
        <v>9.0019388791431985E-4</v>
      </c>
      <c r="AJ19" s="4">
        <f>HUNGARY2009ttl!AJ15/HUNGARY2009ttl!$BE$36</f>
        <v>2.2596955060305617E-4</v>
      </c>
      <c r="AK19" s="4">
        <f>HUNGARY2009ttl!AK15/HUNGARY2009ttl!$BE$37</f>
        <v>2.0341741253051261E-4</v>
      </c>
      <c r="AL19" s="4">
        <f>HUNGARY2009ttl!AL15/HUNGARY2009ttl!$BE$38</f>
        <v>1.3808691941484751E-2</v>
      </c>
      <c r="AM19" s="4">
        <f>HUNGARY2009ttl!AM15/HUNGARY2009ttl!$BE$39</f>
        <v>2.1468604540704865E-3</v>
      </c>
      <c r="AN19" s="4">
        <f>HUNGARY2009ttl!AN15/HUNGARY2009ttl!$BE$40</f>
        <v>1.3126602217623626E-3</v>
      </c>
      <c r="AO19" s="4">
        <f>HUNGARY2009ttl!AO15/HUNGARY2009ttl!$BE$41</f>
        <v>1.9631081090906448E-4</v>
      </c>
      <c r="AP19" s="4">
        <f>HUNGARY2009ttl!AP15/HUNGARY2009ttl!$BE$42</f>
        <v>1.5558698727015561E-4</v>
      </c>
      <c r="AQ19" s="4">
        <f>HUNGARY2009ttl!AQ15/HUNGARY2009ttl!$BE$43</f>
        <v>1.6622506624006401E-3</v>
      </c>
      <c r="AR19" s="4">
        <f>HUNGARY2009ttl!AR15/HUNGARY2009ttl!$BE$44</f>
        <v>3.7187162991335386E-4</v>
      </c>
      <c r="AS19" s="4">
        <f>HUNGARY2009ttl!AS15/HUNGARY2009ttl!$BE$45</f>
        <v>4.8873045078196866E-4</v>
      </c>
      <c r="AT19" s="4">
        <f>HUNGARY2009ttl!AT15/HUNGARY2009ttl!$BE$46</f>
        <v>0</v>
      </c>
    </row>
    <row r="20" spans="1:46" x14ac:dyDescent="0.3">
      <c r="A20" s="14" t="s">
        <v>68</v>
      </c>
      <c r="B20" s="4">
        <f>HUNGARY2009ttl!B16/HUNGARY2009ttl!$BE$2</f>
        <v>1.6018653674811849E-3</v>
      </c>
      <c r="C20" s="4">
        <f>HUNGARY2009ttl!C16/HUNGARY2009ttl!$BE$3</f>
        <v>2.1141649048625794E-3</v>
      </c>
      <c r="D20" s="4">
        <f>HUNGARY2009ttl!D16/HUNGARY2009ttl!$BE$4</f>
        <v>3.7593984962406308E-3</v>
      </c>
      <c r="E20" s="4">
        <f>HUNGARY2009ttl!E16/HUNGARY2009ttl!$BE$5</f>
        <v>4.0111076828139459E-3</v>
      </c>
      <c r="F20" s="4">
        <f>HUNGARY2009ttl!F16/HUNGARY2009ttl!$BE$6</f>
        <v>1.7926734216679657E-2</v>
      </c>
      <c r="G20" s="4">
        <f>HUNGARY2009ttl!G16/HUNGARY2009ttl!$BE$7</f>
        <v>2.266984098609745E-3</v>
      </c>
      <c r="H20" s="4">
        <f>HUNGARY2009ttl!H16/HUNGARY2009ttl!$BE$8</f>
        <v>1.2430853378084406E-3</v>
      </c>
      <c r="I20" s="4">
        <f>HUNGARY2009ttl!I16/HUNGARY2009ttl!$BE$9</f>
        <v>2.9417513682564504E-2</v>
      </c>
      <c r="J20" s="4">
        <f>HUNGARY2009ttl!J16/HUNGARY2009ttl!$BE$10</f>
        <v>2.0948616600790517E-3</v>
      </c>
      <c r="K20" s="4">
        <f>HUNGARY2009ttl!K16/HUNGARY2009ttl!$BE$11</f>
        <v>2.8219684467621626E-3</v>
      </c>
      <c r="L20" s="4">
        <f>HUNGARY2009ttl!L16/HUNGARY2009ttl!$BE$12</f>
        <v>6.4733575861331072E-3</v>
      </c>
      <c r="M20" s="4">
        <f>HUNGARY2009ttl!M16/HUNGARY2009ttl!$BE$13</f>
        <v>3.9690892143007485E-3</v>
      </c>
      <c r="N20" s="4">
        <f>HUNGARY2009ttl!N16/HUNGARY2009ttl!$BE$14</f>
        <v>1.1166918613156482E-2</v>
      </c>
      <c r="O20" s="4">
        <f>HUNGARY2009ttl!O16/HUNGARY2009ttl!$BE$15</f>
        <v>1.9642587844970597E-2</v>
      </c>
      <c r="P20" s="4">
        <f>HUNGARY2009ttl!P16/HUNGARY2009ttl!$BE$16</f>
        <v>0.28853686134563489</v>
      </c>
      <c r="Q20" s="4">
        <f>HUNGARY2009ttl!Q16/HUNGARY2009ttl!$BE$17</f>
        <v>0.15108001663445778</v>
      </c>
      <c r="R20" s="4">
        <f>HUNGARY2009ttl!R16/HUNGARY2009ttl!$BE$18</f>
        <v>2.8012826926013487E-3</v>
      </c>
      <c r="S20" s="4">
        <f>HUNGARY2009ttl!S16/HUNGARY2009ttl!$BE$19</f>
        <v>0.13458976284489238</v>
      </c>
      <c r="T20" s="4">
        <f>HUNGARY2009ttl!T16/HUNGARY2009ttl!$BE$20</f>
        <v>6.2204326591852023E-2</v>
      </c>
      <c r="U20" s="4">
        <f>HUNGARY2009ttl!U16/HUNGARY2009ttl!$BE$21</f>
        <v>2.0315406177140911E-2</v>
      </c>
      <c r="V20" s="4">
        <f>HUNGARY2009ttl!V16/HUNGARY2009ttl!$BE$22</f>
        <v>6.8470343392299682E-2</v>
      </c>
      <c r="W20" s="4">
        <f>HUNGARY2009ttl!W16/HUNGARY2009ttl!$BE$23</f>
        <v>2.8250633828323067E-2</v>
      </c>
      <c r="X20" s="4">
        <f>HUNGARY2009ttl!X16/HUNGARY2009ttl!$BE$24</f>
        <v>2.7551258871136384E-3</v>
      </c>
      <c r="Y20" s="4">
        <f>HUNGARY2009ttl!Y16/HUNGARY2009ttl!$BE$25</f>
        <v>7.4821199339812957E-3</v>
      </c>
      <c r="Z20" s="4">
        <f>HUNGARY2009ttl!Z16/HUNGARY2009ttl!$BE$26</f>
        <v>2.3528179342132825E-2</v>
      </c>
      <c r="AA20" s="4">
        <f>HUNGARY2009ttl!AA16/HUNGARY2009ttl!$BE$27</f>
        <v>3.61838282730737E-3</v>
      </c>
      <c r="AB20" s="4">
        <f>HUNGARY2009ttl!AB16/HUNGARY2009ttl!$BE$28</f>
        <v>7.8769215107400981E-3</v>
      </c>
      <c r="AC20" s="4">
        <f>HUNGARY2009ttl!AC16/HUNGARY2009ttl!$BE$29</f>
        <v>2.8555111364934318E-3</v>
      </c>
      <c r="AD20" s="4">
        <f>HUNGARY2009ttl!AD16/HUNGARY2009ttl!$BE$30</f>
        <v>8.6125226078718456E-5</v>
      </c>
      <c r="AE20" s="4">
        <f>HUNGARY2009ttl!AE16/HUNGARY2009ttl!$BE$31</f>
        <v>1.9243857219966671E-3</v>
      </c>
      <c r="AF20" s="4">
        <f>HUNGARY2009ttl!AF16/HUNGARY2009ttl!$BE$32</f>
        <v>0</v>
      </c>
      <c r="AG20" s="4">
        <f>HUNGARY2009ttl!AG16/HUNGARY2009ttl!$BE$33</f>
        <v>9.2573734979911496E-5</v>
      </c>
      <c r="AH20" s="4">
        <f>HUNGARY2009ttl!AH16/HUNGARY2009ttl!$BE$34</f>
        <v>2.9780517585395638E-5</v>
      </c>
      <c r="AI20" s="4">
        <f>HUNGARY2009ttl!AI16/HUNGARY2009ttl!$BE$35</f>
        <v>6.9245683685716919E-5</v>
      </c>
      <c r="AJ20" s="4">
        <f>HUNGARY2009ttl!AJ16/HUNGARY2009ttl!$BE$36</f>
        <v>2.2596955060305617E-4</v>
      </c>
      <c r="AK20" s="4">
        <f>HUNGARY2009ttl!AK16/HUNGARY2009ttl!$BE$37</f>
        <v>1.9373086907667869E-5</v>
      </c>
      <c r="AL20" s="4">
        <f>HUNGARY2009ttl!AL16/HUNGARY2009ttl!$BE$38</f>
        <v>2.9937724199549267E-3</v>
      </c>
      <c r="AM20" s="4">
        <f>HUNGARY2009ttl!AM16/HUNGARY2009ttl!$BE$39</f>
        <v>7.618504797188186E-3</v>
      </c>
      <c r="AN20" s="4">
        <f>HUNGARY2009ttl!AN16/HUNGARY2009ttl!$BE$40</f>
        <v>1.1613182197238786E-2</v>
      </c>
      <c r="AO20" s="4">
        <f>HUNGARY2009ttl!AO16/HUNGARY2009ttl!$BE$41</f>
        <v>7.2707707744097954E-6</v>
      </c>
      <c r="AP20" s="4">
        <f>HUNGARY2009ttl!AP16/HUNGARY2009ttl!$BE$42</f>
        <v>2.8288543140028291E-5</v>
      </c>
      <c r="AQ20" s="4">
        <f>HUNGARY2009ttl!AQ16/HUNGARY2009ttl!$BE$43</f>
        <v>2.4996250562415637E-4</v>
      </c>
      <c r="AR20" s="4">
        <f>HUNGARY2009ttl!AR16/HUNGARY2009ttl!$BE$44</f>
        <v>1.1156148897400615E-4</v>
      </c>
      <c r="AS20" s="4">
        <f>HUNGARY2009ttl!AS16/HUNGARY2009ttl!$BE$45</f>
        <v>1.6961821527138913E-3</v>
      </c>
      <c r="AT20" s="4">
        <f>HUNGARY2009ttl!AT16/HUNGARY2009ttl!$BE$46</f>
        <v>0</v>
      </c>
    </row>
    <row r="21" spans="1:46" x14ac:dyDescent="0.3">
      <c r="A21" s="14" t="s">
        <v>69</v>
      </c>
      <c r="B21" s="4">
        <f>HUNGARY2009ttl!B17/HUNGARY2009ttl!$BE$2</f>
        <v>2.1421394855073838E-3</v>
      </c>
      <c r="C21" s="4">
        <f>HUNGARY2009ttl!C17/HUNGARY2009ttl!$BE$3</f>
        <v>2.1141649048625794E-3</v>
      </c>
      <c r="D21" s="4">
        <f>HUNGARY2009ttl!D17/HUNGARY2009ttl!$BE$4</f>
        <v>1.8796992481203154E-3</v>
      </c>
      <c r="E21" s="4">
        <f>HUNGARY2009ttl!E17/HUNGARY2009ttl!$BE$5</f>
        <v>4.3196544276457869E-3</v>
      </c>
      <c r="F21" s="4">
        <f>HUNGARY2009ttl!F17/HUNGARY2009ttl!$BE$6</f>
        <v>7.0148090413094319E-3</v>
      </c>
      <c r="G21" s="4">
        <f>HUNGARY2009ttl!G17/HUNGARY2009ttl!$BE$7</f>
        <v>1.2756863924076343E-2</v>
      </c>
      <c r="H21" s="4">
        <f>HUNGARY2009ttl!H17/HUNGARY2009ttl!$BE$8</f>
        <v>9.1366772328920383E-3</v>
      </c>
      <c r="I21" s="4">
        <f>HUNGARY2009ttl!I17/HUNGARY2009ttl!$BE$9</f>
        <v>2.4433150899139951E-2</v>
      </c>
      <c r="J21" s="4">
        <f>HUNGARY2009ttl!J17/HUNGARY2009ttl!$BE$10</f>
        <v>5.5731225296442692E-3</v>
      </c>
      <c r="K21" s="4">
        <f>HUNGARY2009ttl!K17/HUNGARY2009ttl!$BE$11</f>
        <v>2.739454749488415E-3</v>
      </c>
      <c r="L21" s="4">
        <f>HUNGARY2009ttl!L17/HUNGARY2009ttl!$BE$12</f>
        <v>6.2326128825165869E-3</v>
      </c>
      <c r="M21" s="4">
        <f>HUNGARY2009ttl!M17/HUNGARY2009ttl!$BE$13</f>
        <v>3.9991580719848461E-3</v>
      </c>
      <c r="N21" s="4">
        <f>HUNGARY2009ttl!N17/HUNGARY2009ttl!$BE$14</f>
        <v>2.5113375920417416E-2</v>
      </c>
      <c r="O21" s="4">
        <f>HUNGARY2009ttl!O17/HUNGARY2009ttl!$BE$15</f>
        <v>7.3895340069371155E-3</v>
      </c>
      <c r="P21" s="4">
        <f>HUNGARY2009ttl!P17/HUNGARY2009ttl!$BE$16</f>
        <v>1.7973713987292188E-2</v>
      </c>
      <c r="Q21" s="4">
        <f>HUNGARY2009ttl!Q17/HUNGARY2009ttl!$BE$17</f>
        <v>0.15629051591281584</v>
      </c>
      <c r="R21" s="4">
        <f>HUNGARY2009ttl!R17/HUNGARY2009ttl!$BE$18</f>
        <v>8.1195073533670663E-3</v>
      </c>
      <c r="S21" s="4">
        <f>HUNGARY2009ttl!S17/HUNGARY2009ttl!$BE$19</f>
        <v>3.2436229742496561E-2</v>
      </c>
      <c r="T21" s="4">
        <f>HUNGARY2009ttl!T17/HUNGARY2009ttl!$BE$20</f>
        <v>7.5692392485876545E-2</v>
      </c>
      <c r="U21" s="4">
        <f>HUNGARY2009ttl!U17/HUNGARY2009ttl!$BE$21</f>
        <v>4.5090770963770205E-2</v>
      </c>
      <c r="V21" s="4">
        <f>HUNGARY2009ttl!V17/HUNGARY2009ttl!$BE$22</f>
        <v>3.1841831425598335E-2</v>
      </c>
      <c r="W21" s="4">
        <f>HUNGARY2009ttl!W17/HUNGARY2009ttl!$BE$23</f>
        <v>3.7963847090974938E-2</v>
      </c>
      <c r="X21" s="4">
        <f>HUNGARY2009ttl!X17/HUNGARY2009ttl!$BE$24</f>
        <v>8.0070846094240106E-3</v>
      </c>
      <c r="Y21" s="4">
        <f>HUNGARY2009ttl!Y17/HUNGARY2009ttl!$BE$25</f>
        <v>6.6018705299834965E-3</v>
      </c>
      <c r="Z21" s="4">
        <f>HUNGARY2009ttl!Z17/HUNGARY2009ttl!$BE$26</f>
        <v>5.1532928277114316E-2</v>
      </c>
      <c r="AA21" s="4">
        <f>HUNGARY2009ttl!AA17/HUNGARY2009ttl!$BE$27</f>
        <v>5.2131960778813826E-3</v>
      </c>
      <c r="AB21" s="4">
        <f>HUNGARY2009ttl!AB17/HUNGARY2009ttl!$BE$28</f>
        <v>2.9013539651837521E-3</v>
      </c>
      <c r="AC21" s="4">
        <f>HUNGARY2009ttl!AC17/HUNGARY2009ttl!$BE$29</f>
        <v>2.2844089091947459E-3</v>
      </c>
      <c r="AD21" s="4">
        <f>HUNGARY2009ttl!AD17/HUNGARY2009ttl!$BE$30</f>
        <v>1.4641288433382136E-3</v>
      </c>
      <c r="AE21" s="4">
        <f>HUNGARY2009ttl!AE17/HUNGARY2009ttl!$BE$31</f>
        <v>5.444603506136912E-3</v>
      </c>
      <c r="AF21" s="4">
        <f>HUNGARY2009ttl!AF17/HUNGARY2009ttl!$BE$32</f>
        <v>1.0093873019077421E-3</v>
      </c>
      <c r="AG21" s="4">
        <f>HUNGARY2009ttl!AG17/HUNGARY2009ttl!$BE$33</f>
        <v>1.1293995667549202E-3</v>
      </c>
      <c r="AH21" s="4">
        <f>HUNGARY2009ttl!AH17/HUNGARY2009ttl!$BE$34</f>
        <v>7.742934572202866E-4</v>
      </c>
      <c r="AI21" s="4">
        <f>HUNGARY2009ttl!AI17/HUNGARY2009ttl!$BE$35</f>
        <v>3.5546117625334683E-3</v>
      </c>
      <c r="AJ21" s="4">
        <f>HUNGARY2009ttl!AJ17/HUNGARY2009ttl!$BE$36</f>
        <v>1.7512640171736854E-3</v>
      </c>
      <c r="AK21" s="4">
        <f>HUNGARY2009ttl!AK17/HUNGARY2009ttl!$BE$37</f>
        <v>6.3931186795303956E-4</v>
      </c>
      <c r="AL21" s="4">
        <f>HUNGARY2009ttl!AL17/HUNGARY2009ttl!$BE$38</f>
        <v>5.2207657123044711E-3</v>
      </c>
      <c r="AM21" s="4">
        <f>HUNGARY2009ttl!AM17/HUNGARY2009ttl!$BE$39</f>
        <v>2.2418542794718352E-3</v>
      </c>
      <c r="AN21" s="4">
        <f>HUNGARY2009ttl!AN17/HUNGARY2009ttl!$BE$40</f>
        <v>2.9959539179046863E-3</v>
      </c>
      <c r="AO21" s="4">
        <f>HUNGARY2009ttl!AO17/HUNGARY2009ttl!$BE$41</f>
        <v>1.272384885521714E-3</v>
      </c>
      <c r="AP21" s="4">
        <f>HUNGARY2009ttl!AP17/HUNGARY2009ttl!$BE$42</f>
        <v>2.3903818953323903E-3</v>
      </c>
      <c r="AQ21" s="4">
        <f>HUNGARY2009ttl!AQ17/HUNGARY2009ttl!$BE$43</f>
        <v>2.6246063090536419E-3</v>
      </c>
      <c r="AR21" s="4">
        <f>HUNGARY2009ttl!AR17/HUNGARY2009ttl!$BE$44</f>
        <v>3.9046521140902153E-3</v>
      </c>
      <c r="AS21" s="4">
        <f>HUNGARY2009ttl!AS17/HUNGARY2009ttl!$BE$45</f>
        <v>1.839926402943882E-3</v>
      </c>
      <c r="AT21" s="4">
        <f>HUNGARY2009ttl!AT17/HUNGARY2009ttl!$BE$46</f>
        <v>0</v>
      </c>
    </row>
    <row r="22" spans="1:46" x14ac:dyDescent="0.3">
      <c r="A22" s="14" t="s">
        <v>70</v>
      </c>
      <c r="B22" s="4">
        <f>HUNGARY2009ttl!B18/HUNGARY2009ttl!$BE$2</f>
        <v>1.1942901556368599E-3</v>
      </c>
      <c r="C22" s="4">
        <f>HUNGARY2009ttl!C18/HUNGARY2009ttl!$BE$3</f>
        <v>2.1141649048625794E-3</v>
      </c>
      <c r="D22" s="4">
        <f>HUNGARY2009ttl!D18/HUNGARY2009ttl!$BE$4</f>
        <v>5.6390977443609453E-3</v>
      </c>
      <c r="E22" s="4">
        <f>HUNGARY2009ttl!E18/HUNGARY2009ttl!$BE$5</f>
        <v>2.1598272138228934E-3</v>
      </c>
      <c r="F22" s="4">
        <f>HUNGARY2009ttl!F18/HUNGARY2009ttl!$BE$6</f>
        <v>1.6757599376461419E-2</v>
      </c>
      <c r="G22" s="4">
        <f>HUNGARY2009ttl!G18/HUNGARY2009ttl!$BE$7</f>
        <v>2.1288524510242051E-3</v>
      </c>
      <c r="H22" s="4">
        <f>HUNGARY2009ttl!H18/HUNGARY2009ttl!$BE$8</f>
        <v>1.8024737398222388E-3</v>
      </c>
      <c r="I22" s="4">
        <f>HUNGARY2009ttl!I18/HUNGARY2009ttl!$BE$9</f>
        <v>2.4433150899139952E-3</v>
      </c>
      <c r="J22" s="4">
        <f>HUNGARY2009ttl!J18/HUNGARY2009ttl!$BE$10</f>
        <v>3.241106719367589E-3</v>
      </c>
      <c r="K22" s="4">
        <f>HUNGARY2009ttl!K18/HUNGARY2009ttl!$BE$11</f>
        <v>1.8978150372961911E-3</v>
      </c>
      <c r="L22" s="4">
        <f>HUNGARY2009ttl!L18/HUNGARY2009ttl!$BE$12</f>
        <v>2.2736999786004716E-3</v>
      </c>
      <c r="M22" s="4">
        <f>HUNGARY2009ttl!M18/HUNGARY2009ttl!$BE$13</f>
        <v>3.6684006374597829E-3</v>
      </c>
      <c r="N22" s="4">
        <f>HUNGARY2009ttl!N18/HUNGARY2009ttl!$BE$14</f>
        <v>1.0191641878382989E-2</v>
      </c>
      <c r="O22" s="4">
        <f>HUNGARY2009ttl!O18/HUNGARY2009ttl!$BE$15</f>
        <v>1.960488614085357E-3</v>
      </c>
      <c r="P22" s="4">
        <f>HUNGARY2009ttl!P18/HUNGARY2009ttl!$BE$16</f>
        <v>1.8278353207415786E-3</v>
      </c>
      <c r="Q22" s="4">
        <f>HUNGARY2009ttl!Q18/HUNGARY2009ttl!$BE$17</f>
        <v>7.9502923261332206E-3</v>
      </c>
      <c r="R22" s="4">
        <f>HUNGARY2009ttl!R18/HUNGARY2009ttl!$BE$18</f>
        <v>0.47141059327165591</v>
      </c>
      <c r="S22" s="4">
        <f>HUNGARY2009ttl!S18/HUNGARY2009ttl!$BE$19</f>
        <v>7.4198783944187427E-2</v>
      </c>
      <c r="T22" s="4">
        <f>HUNGARY2009ttl!T18/HUNGARY2009ttl!$BE$20</f>
        <v>1.5631458885129439E-2</v>
      </c>
      <c r="U22" s="4">
        <f>HUNGARY2009ttl!U18/HUNGARY2009ttl!$BE$21</f>
        <v>7.3206192858826916E-2</v>
      </c>
      <c r="V22" s="4">
        <f>HUNGARY2009ttl!V18/HUNGARY2009ttl!$BE$22</f>
        <v>4.1623309053069723E-3</v>
      </c>
      <c r="W22" s="4">
        <f>HUNGARY2009ttl!W18/HUNGARY2009ttl!$BE$23</f>
        <v>7.9812979487010632E-2</v>
      </c>
      <c r="X22" s="4">
        <f>HUNGARY2009ttl!X18/HUNGARY2009ttl!$BE$24</f>
        <v>5.5963494581995777E-3</v>
      </c>
      <c r="Y22" s="4">
        <f>HUNGARY2009ttl!Y18/HUNGARY2009ttl!$BE$25</f>
        <v>6.0883917109847809E-3</v>
      </c>
      <c r="Z22" s="4">
        <f>HUNGARY2009ttl!Z18/HUNGARY2009ttl!$BE$26</f>
        <v>6.7532648927997761E-3</v>
      </c>
      <c r="AA22" s="4">
        <f>HUNGARY2009ttl!AA18/HUNGARY2009ttl!$BE$27</f>
        <v>8.5871477285932377E-3</v>
      </c>
      <c r="AB22" s="4">
        <f>HUNGARY2009ttl!AB18/HUNGARY2009ttl!$BE$28</f>
        <v>3.0413315687671783E-3</v>
      </c>
      <c r="AC22" s="4">
        <f>HUNGARY2009ttl!AC18/HUNGARY2009ttl!$BE$29</f>
        <v>3.4266133637921182E-3</v>
      </c>
      <c r="AD22" s="4">
        <f>HUNGARY2009ttl!AD18/HUNGARY2009ttl!$BE$30</f>
        <v>2.6698820084402721E-3</v>
      </c>
      <c r="AE22" s="4">
        <f>HUNGARY2009ttl!AE18/HUNGARY2009ttl!$BE$31</f>
        <v>4.7874961864307333E-3</v>
      </c>
      <c r="AF22" s="4">
        <f>HUNGARY2009ttl!AF18/HUNGARY2009ttl!$BE$32</f>
        <v>9.0844857171696793E-3</v>
      </c>
      <c r="AG22" s="4">
        <f>HUNGARY2009ttl!AG18/HUNGARY2009ttl!$BE$33</f>
        <v>1.8144452056062653E-3</v>
      </c>
      <c r="AH22" s="4">
        <f>HUNGARY2009ttl!AH18/HUNGARY2009ttl!$BE$34</f>
        <v>3.2162958992227289E-3</v>
      </c>
      <c r="AI22" s="4">
        <f>HUNGARY2009ttl!AI18/HUNGARY2009ttl!$BE$35</f>
        <v>1.6018834825962513E-2</v>
      </c>
      <c r="AJ22" s="4">
        <f>HUNGARY2009ttl!AJ18/HUNGARY2009ttl!$BE$36</f>
        <v>2.3331356099765548E-2</v>
      </c>
      <c r="AK22" s="4">
        <f>HUNGARY2009ttl!AK18/HUNGARY2009ttl!$BE$37</f>
        <v>5.3857181603316675E-3</v>
      </c>
      <c r="AL22" s="4">
        <f>HUNGARY2009ttl!AL18/HUNGARY2009ttl!$BE$38</f>
        <v>3.0204429983064184E-3</v>
      </c>
      <c r="AM22" s="4">
        <f>HUNGARY2009ttl!AM18/HUNGARY2009ttl!$BE$39</f>
        <v>7.5235109717868365E-3</v>
      </c>
      <c r="AN22" s="4">
        <f>HUNGARY2009ttl!AN18/HUNGARY2009ttl!$BE$40</f>
        <v>7.1038082589492567E-3</v>
      </c>
      <c r="AO22" s="4">
        <f>HUNGARY2009ttl!AO18/HUNGARY2009ttl!$BE$41</f>
        <v>3.0609944960265237E-3</v>
      </c>
      <c r="AP22" s="4">
        <f>HUNGARY2009ttl!AP18/HUNGARY2009ttl!$BE$42</f>
        <v>6.1103253182461107E-3</v>
      </c>
      <c r="AQ22" s="4">
        <f>HUNGARY2009ttl!AQ18/HUNGARY2009ttl!$BE$43</f>
        <v>1.2310653401989701E-2</v>
      </c>
      <c r="AR22" s="4">
        <f>HUNGARY2009ttl!AR18/HUNGARY2009ttl!$BE$44</f>
        <v>4.9830798408389415E-3</v>
      </c>
      <c r="AS22" s="4">
        <f>HUNGARY2009ttl!AS18/HUNGARY2009ttl!$BE$45</f>
        <v>9.803357865685371E-3</v>
      </c>
      <c r="AT22" s="4">
        <f>HUNGARY2009ttl!AT18/HUNGARY2009ttl!$BE$46</f>
        <v>0</v>
      </c>
    </row>
    <row r="23" spans="1:46" x14ac:dyDescent="0.3">
      <c r="A23" s="14" t="s">
        <v>71</v>
      </c>
      <c r="B23" s="4">
        <f>HUNGARY2009ttl!B19/HUNGARY2009ttl!$BE$2</f>
        <v>1.6966503004682374E-3</v>
      </c>
      <c r="C23" s="4">
        <f>HUNGARY2009ttl!C19/HUNGARY2009ttl!$BE$3</f>
        <v>2.1141649048625794E-3</v>
      </c>
      <c r="D23" s="4">
        <f>HUNGARY2009ttl!D19/HUNGARY2009ttl!$BE$4</f>
        <v>1.8796992481203154E-3</v>
      </c>
      <c r="E23" s="4">
        <f>HUNGARY2009ttl!E19/HUNGARY2009ttl!$BE$5</f>
        <v>3.3940141931502617E-3</v>
      </c>
      <c r="F23" s="4">
        <f>HUNGARY2009ttl!F19/HUNGARY2009ttl!$BE$6</f>
        <v>5.0662509742790346E-3</v>
      </c>
      <c r="G23" s="4">
        <f>HUNGARY2009ttl!G19/HUNGARY2009ttl!$BE$7</f>
        <v>1.8688399379220122E-3</v>
      </c>
      <c r="H23" s="4">
        <f>HUNGARY2009ttl!H19/HUNGARY2009ttl!$BE$8</f>
        <v>2.9834048107402573E-3</v>
      </c>
      <c r="I23" s="4">
        <f>HUNGARY2009ttl!I19/HUNGARY2009ttl!$BE$9</f>
        <v>2.7365129007036744E-3</v>
      </c>
      <c r="J23" s="4">
        <f>HUNGARY2009ttl!J19/HUNGARY2009ttl!$BE$10</f>
        <v>3.2015810276679844E-3</v>
      </c>
      <c r="K23" s="4">
        <f>HUNGARY2009ttl!K19/HUNGARY2009ttl!$BE$11</f>
        <v>2.7064492705789157E-3</v>
      </c>
      <c r="L23" s="4">
        <f>HUNGARY2009ttl!L19/HUNGARY2009ttl!$BE$12</f>
        <v>4.0391611384549553E-3</v>
      </c>
      <c r="M23" s="4">
        <f>HUNGARY2009ttl!M19/HUNGARY2009ttl!$BE$13</f>
        <v>2.315302041675437E-3</v>
      </c>
      <c r="N23" s="4">
        <f>HUNGARY2009ttl!N19/HUNGARY2009ttl!$BE$14</f>
        <v>6.802555225045105E-3</v>
      </c>
      <c r="O23" s="4">
        <f>HUNGARY2009ttl!O19/HUNGARY2009ttl!$BE$15</f>
        <v>3.3931533705323486E-3</v>
      </c>
      <c r="P23" s="4">
        <f>HUNGARY2009ttl!P19/HUNGARY2009ttl!$BE$16</f>
        <v>4.1343894159630943E-3</v>
      </c>
      <c r="Q23" s="4">
        <f>HUNGARY2009ttl!Q19/HUNGARY2009ttl!$BE$17</f>
        <v>3.3293378018053273E-2</v>
      </c>
      <c r="R23" s="4">
        <f>HUNGARY2009ttl!R19/HUNGARY2009ttl!$BE$18</f>
        <v>7.3070300611332545E-2</v>
      </c>
      <c r="S23" s="4">
        <f>HUNGARY2009ttl!S19/HUNGARY2009ttl!$BE$19</f>
        <v>0.11511349046776971</v>
      </c>
      <c r="T23" s="4">
        <f>HUNGARY2009ttl!T19/HUNGARY2009ttl!$BE$20</f>
        <v>4.0678536981184052E-2</v>
      </c>
      <c r="U23" s="4">
        <f>HUNGARY2009ttl!U19/HUNGARY2009ttl!$BE$21</f>
        <v>4.2739632724700709E-2</v>
      </c>
      <c r="V23" s="4">
        <f>HUNGARY2009ttl!V19/HUNGARY2009ttl!$BE$22</f>
        <v>2.3725286160249742E-2</v>
      </c>
      <c r="W23" s="4">
        <f>HUNGARY2009ttl!W19/HUNGARY2009ttl!$BE$23</f>
        <v>2.0545915511507685E-2</v>
      </c>
      <c r="X23" s="4">
        <f>HUNGARY2009ttl!X19/HUNGARY2009ttl!$BE$24</f>
        <v>1.3148346309484284E-2</v>
      </c>
      <c r="Y23" s="4">
        <f>HUNGARY2009ttl!Y19/HUNGARY2009ttl!$BE$25</f>
        <v>4.4012470199889979E-3</v>
      </c>
      <c r="Z23" s="4">
        <f>HUNGARY2009ttl!Z19/HUNGARY2009ttl!$BE$26</f>
        <v>2.8374886514421396E-2</v>
      </c>
      <c r="AA23" s="4">
        <f>HUNGARY2009ttl!AA19/HUNGARY2009ttl!$BE$27</f>
        <v>4.1593370705925248E-3</v>
      </c>
      <c r="AB23" s="4">
        <f>HUNGARY2009ttl!AB19/HUNGARY2009ttl!$BE$28</f>
        <v>3.3467372493128367E-3</v>
      </c>
      <c r="AC23" s="4">
        <f>HUNGARY2009ttl!AC19/HUNGARY2009ttl!$BE$29</f>
        <v>6.8532267275842364E-3</v>
      </c>
      <c r="AD23" s="4">
        <f>HUNGARY2009ttl!AD19/HUNGARY2009ttl!$BE$30</f>
        <v>1.7225045215743689E-3</v>
      </c>
      <c r="AE23" s="4">
        <f>HUNGARY2009ttl!AE19/HUNGARY2009ttl!$BE$31</f>
        <v>2.2998756189716268E-3</v>
      </c>
      <c r="AF23" s="4">
        <f>HUNGARY2009ttl!AF19/HUNGARY2009ttl!$BE$32</f>
        <v>1.2112647622892906E-3</v>
      </c>
      <c r="AG23" s="4">
        <f>HUNGARY2009ttl!AG19/HUNGARY2009ttl!$BE$33</f>
        <v>1.4071207716946546E-3</v>
      </c>
      <c r="AH23" s="4">
        <f>HUNGARY2009ttl!AH19/HUNGARY2009ttl!$BE$34</f>
        <v>5.9561035170791279E-4</v>
      </c>
      <c r="AI23" s="4">
        <f>HUNGARY2009ttl!AI19/HUNGARY2009ttl!$BE$35</f>
        <v>9.2789216138860677E-3</v>
      </c>
      <c r="AJ23" s="4">
        <f>HUNGARY2009ttl!AJ19/HUNGARY2009ttl!$BE$36</f>
        <v>3.163573708442786E-3</v>
      </c>
      <c r="AK23" s="4">
        <f>HUNGARY2009ttl!AK19/HUNGARY2009ttl!$BE$37</f>
        <v>4.8432717269169666E-4</v>
      </c>
      <c r="AL23" s="4">
        <f>HUNGARY2009ttl!AL19/HUNGARY2009ttl!$BE$38</f>
        <v>3.9205750176692583E-3</v>
      </c>
      <c r="AM23" s="4">
        <f>HUNGARY2009ttl!AM19/HUNGARY2009ttl!$BE$39</f>
        <v>3.6762610430322046E-3</v>
      </c>
      <c r="AN23" s="4">
        <f>HUNGARY2009ttl!AN19/HUNGARY2009ttl!$BE$40</f>
        <v>2.7179788121197159E-3</v>
      </c>
      <c r="AO23" s="4">
        <f>HUNGARY2009ttl!AO19/HUNGARY2009ttl!$BE$41</f>
        <v>1.6359234242422039E-3</v>
      </c>
      <c r="AP23" s="4">
        <f>HUNGARY2009ttl!AP19/HUNGARY2009ttl!$BE$42</f>
        <v>5.5162659123055165E-4</v>
      </c>
      <c r="AQ23" s="4">
        <f>HUNGARY2009ttl!AQ19/HUNGARY2009ttl!$BE$43</f>
        <v>1.2998050292456133E-3</v>
      </c>
      <c r="AR23" s="4">
        <f>HUNGARY2009ttl!AR19/HUNGARY2009ttl!$BE$44</f>
        <v>1.8593581495667693E-3</v>
      </c>
      <c r="AS23" s="4">
        <f>HUNGARY2009ttl!AS19/HUNGARY2009ttl!$BE$45</f>
        <v>1.9549218031278746E-3</v>
      </c>
      <c r="AT23" s="4">
        <f>HUNGARY2009ttl!AT19/HUNGARY2009ttl!$BE$46</f>
        <v>0</v>
      </c>
    </row>
    <row r="24" spans="1:46" x14ac:dyDescent="0.3">
      <c r="A24" s="14" t="s">
        <v>72</v>
      </c>
      <c r="B24" s="4">
        <f>HUNGARY2009ttl!B20/HUNGARY2009ttl!$BE$2</f>
        <v>1.2644310060472787E-2</v>
      </c>
      <c r="C24" s="4">
        <f>HUNGARY2009ttl!C20/HUNGARY2009ttl!$BE$3</f>
        <v>1.2684989429175474E-2</v>
      </c>
      <c r="D24" s="4">
        <f>HUNGARY2009ttl!D20/HUNGARY2009ttl!$BE$4</f>
        <v>1.221804511278205E-2</v>
      </c>
      <c r="E24" s="4">
        <f>HUNGARY2009ttl!E20/HUNGARY2009ttl!$BE$5</f>
        <v>2.9929034248688667E-2</v>
      </c>
      <c r="F24" s="4">
        <f>HUNGARY2009ttl!F20/HUNGARY2009ttl!$BE$6</f>
        <v>2.0265003897116139E-2</v>
      </c>
      <c r="G24" s="4">
        <f>HUNGARY2009ttl!G20/HUNGARY2009ttl!$BE$7</f>
        <v>8.3691527654768377E-3</v>
      </c>
      <c r="H24" s="4">
        <f>HUNGARY2009ttl!H20/HUNGARY2009ttl!$BE$8</f>
        <v>8.8880601653303516E-3</v>
      </c>
      <c r="I24" s="4">
        <f>HUNGARY2009ttl!I20/HUNGARY2009ttl!$BE$9</f>
        <v>1.0066458170445661E-2</v>
      </c>
      <c r="J24" s="4">
        <f>HUNGARY2009ttl!J20/HUNGARY2009ttl!$BE$10</f>
        <v>1.837944664031621E-2</v>
      </c>
      <c r="K24" s="4">
        <f>HUNGARY2009ttl!K20/HUNGARY2009ttl!$BE$11</f>
        <v>9.060003960657469E-3</v>
      </c>
      <c r="L24" s="4">
        <f>HUNGARY2009ttl!L20/HUNGARY2009ttl!$BE$12</f>
        <v>1.3668949283115777E-2</v>
      </c>
      <c r="M24" s="4">
        <f>HUNGARY2009ttl!M20/HUNGARY2009ttl!$BE$13</f>
        <v>7.6976275671287253E-3</v>
      </c>
      <c r="N24" s="4">
        <f>HUNGARY2009ttl!N20/HUNGARY2009ttl!$BE$14</f>
        <v>1.343443702150485E-2</v>
      </c>
      <c r="O24" s="4">
        <f>HUNGARY2009ttl!O20/HUNGARY2009ttl!$BE$15</f>
        <v>1.6513346403257429E-2</v>
      </c>
      <c r="P24" s="4">
        <f>HUNGARY2009ttl!P20/HUNGARY2009ttl!$BE$16</f>
        <v>1.6232918443728778E-2</v>
      </c>
      <c r="Q24" s="4">
        <f>HUNGARY2009ttl!Q20/HUNGARY2009ttl!$BE$17</f>
        <v>2.1967269258054253E-2</v>
      </c>
      <c r="R24" s="4">
        <f>HUNGARY2009ttl!R20/HUNGARY2009ttl!$BE$18</f>
        <v>1.465407844644653E-2</v>
      </c>
      <c r="S24" s="4">
        <f>HUNGARY2009ttl!S20/HUNGARY2009ttl!$BE$19</f>
        <v>3.3405198517477787E-2</v>
      </c>
      <c r="T24" s="4">
        <f>HUNGARY2009ttl!T20/HUNGARY2009ttl!$BE$20</f>
        <v>9.0206225025644141E-2</v>
      </c>
      <c r="U24" s="4">
        <f>HUNGARY2009ttl!U20/HUNGARY2009ttl!$BE$21</f>
        <v>0.15781442380740313</v>
      </c>
      <c r="V24" s="4">
        <f>HUNGARY2009ttl!V20/HUNGARY2009ttl!$BE$22</f>
        <v>2.3309053069719043E-2</v>
      </c>
      <c r="W24" s="4">
        <f>HUNGARY2009ttl!W20/HUNGARY2009ttl!$BE$23</f>
        <v>2.3278785683711434E-2</v>
      </c>
      <c r="X24" s="4">
        <f>HUNGARY2009ttl!X20/HUNGARY2009ttl!$BE$24</f>
        <v>1.2644059874789376E-2</v>
      </c>
      <c r="Y24" s="4">
        <f>HUNGARY2009ttl!Y20/HUNGARY2009ttl!$BE$25</f>
        <v>1.305703282596736E-2</v>
      </c>
      <c r="Z24" s="4">
        <f>HUNGARY2009ttl!Z20/HUNGARY2009ttl!$BE$26</f>
        <v>1.7305677770794049E-2</v>
      </c>
      <c r="AA24" s="4">
        <f>HUNGARY2009ttl!AA20/HUNGARY2009ttl!$BE$27</f>
        <v>1.4453495966885586E-2</v>
      </c>
      <c r="AB24" s="4">
        <f>HUNGARY2009ttl!AB20/HUNGARY2009ttl!$BE$28</f>
        <v>8.0550748243917326E-3</v>
      </c>
      <c r="AC24" s="4">
        <f>HUNGARY2009ttl!AC20/HUNGARY2009ttl!$BE$29</f>
        <v>4.5688178183894918E-3</v>
      </c>
      <c r="AD24" s="4">
        <f>HUNGARY2009ttl!AD20/HUNGARY2009ttl!$BE$30</f>
        <v>3.961760399621048E-3</v>
      </c>
      <c r="AE24" s="4">
        <f>HUNGARY2009ttl!AE20/HUNGARY2009ttl!$BE$31</f>
        <v>1.166365492478468E-2</v>
      </c>
      <c r="AF24" s="4">
        <f>HUNGARY2009ttl!AF20/HUNGARY2009ttl!$BE$32</f>
        <v>1.0093873019077421E-3</v>
      </c>
      <c r="AG24" s="4">
        <f>HUNGARY2009ttl!AG20/HUNGARY2009ttl!$BE$33</f>
        <v>3.0179037603451147E-3</v>
      </c>
      <c r="AH24" s="4">
        <f>HUNGARY2009ttl!AH20/HUNGARY2009ttl!$BE$34</f>
        <v>1.8463920902945295E-3</v>
      </c>
      <c r="AI24" s="4">
        <f>HUNGARY2009ttl!AI20/HUNGARY2009ttl!$BE$35</f>
        <v>2.9083187148001102E-3</v>
      </c>
      <c r="AJ24" s="4">
        <f>HUNGARY2009ttl!AJ20/HUNGARY2009ttl!$BE$36</f>
        <v>3.4460356466966065E-3</v>
      </c>
      <c r="AK24" s="4">
        <f>HUNGARY2009ttl!AK20/HUNGARY2009ttl!$BE$37</f>
        <v>1.6176527567902668E-3</v>
      </c>
      <c r="AL24" s="4">
        <f>HUNGARY2009ttl!AL20/HUNGARY2009ttl!$BE$38</f>
        <v>4.5206630305778183E-3</v>
      </c>
      <c r="AM24" s="4">
        <f>HUNGARY2009ttl!AM20/HUNGARY2009ttl!$BE$39</f>
        <v>4.5502042367246143E-3</v>
      </c>
      <c r="AN24" s="4">
        <f>HUNGARY2009ttl!AN20/HUNGARY2009ttl!$BE$40</f>
        <v>4.6174753683170169E-3</v>
      </c>
      <c r="AO24" s="4">
        <f>HUNGARY2009ttl!AO20/HUNGARY2009ttl!$BE$41</f>
        <v>9.815540545453224E-4</v>
      </c>
      <c r="AP24" s="4">
        <f>HUNGARY2009ttl!AP20/HUNGARY2009ttl!$BE$42</f>
        <v>1.0608203677510608E-3</v>
      </c>
      <c r="AQ24" s="4">
        <f>HUNGARY2009ttl!AQ20/HUNGARY2009ttl!$BE$43</f>
        <v>2.3246513023046545E-3</v>
      </c>
      <c r="AR24" s="4">
        <f>HUNGARY2009ttl!AR20/HUNGARY2009ttl!$BE$44</f>
        <v>2.4171655944367999E-3</v>
      </c>
      <c r="AS24" s="4">
        <f>HUNGARY2009ttl!AS20/HUNGARY2009ttl!$BE$45</f>
        <v>5.9510119595216184E-3</v>
      </c>
      <c r="AT24" s="4">
        <f>HUNGARY2009ttl!AT20/HUNGARY2009ttl!$BE$46</f>
        <v>0</v>
      </c>
    </row>
    <row r="25" spans="1:46" x14ac:dyDescent="0.3">
      <c r="A25" s="14" t="s">
        <v>73</v>
      </c>
      <c r="B25" s="4">
        <f>HUNGARY2009ttl!B21/HUNGARY2009ttl!$BE$2</f>
        <v>2.6255426437413508E-3</v>
      </c>
      <c r="C25" s="4">
        <f>HUNGARY2009ttl!C21/HUNGARY2009ttl!$BE$3</f>
        <v>4.2283298097251587E-3</v>
      </c>
      <c r="D25" s="4">
        <f>HUNGARY2009ttl!D21/HUNGARY2009ttl!$BE$4</f>
        <v>2.8195488721804727E-3</v>
      </c>
      <c r="E25" s="4">
        <f>HUNGARY2009ttl!E21/HUNGARY2009ttl!$BE$5</f>
        <v>5.862388151804997E-3</v>
      </c>
      <c r="F25" s="4">
        <f>HUNGARY2009ttl!F21/HUNGARY2009ttl!$BE$6</f>
        <v>4.6765393608729543E-3</v>
      </c>
      <c r="G25" s="4">
        <f>HUNGARY2009ttl!G21/HUNGARY2009ttl!$BE$7</f>
        <v>1.7632098544742463E-3</v>
      </c>
      <c r="H25" s="4">
        <f>HUNGARY2009ttl!H21/HUNGARY2009ttl!$BE$8</f>
        <v>4.1021816147678537E-3</v>
      </c>
      <c r="I25" s="4">
        <f>HUNGARY2009ttl!I21/HUNGARY2009ttl!$BE$9</f>
        <v>2.4433150899139952E-3</v>
      </c>
      <c r="J25" s="4">
        <f>HUNGARY2009ttl!J21/HUNGARY2009ttl!$BE$10</f>
        <v>2.6482213438735183E-3</v>
      </c>
      <c r="K25" s="4">
        <f>HUNGARY2009ttl!K21/HUNGARY2009ttl!$BE$11</f>
        <v>8.0863423328272498E-4</v>
      </c>
      <c r="L25" s="4">
        <f>HUNGARY2009ttl!L21/HUNGARY2009ttl!$BE$12</f>
        <v>1.8189599828803771E-3</v>
      </c>
      <c r="M25" s="4">
        <f>HUNGARY2009ttl!M21/HUNGARY2009ttl!$BE$13</f>
        <v>1.5936494572571188E-3</v>
      </c>
      <c r="N25" s="4">
        <f>HUNGARY2009ttl!N21/HUNGARY2009ttl!$BE$14</f>
        <v>8.0216511435119708E-3</v>
      </c>
      <c r="O25" s="4">
        <f>HUNGARY2009ttl!O21/HUNGARY2009ttl!$BE$15</f>
        <v>6.8617101492987487E-3</v>
      </c>
      <c r="P25" s="4">
        <f>HUNGARY2009ttl!P21/HUNGARY2009ttl!$BE$16</f>
        <v>9.7919749325441705E-3</v>
      </c>
      <c r="Q25" s="4">
        <f>HUNGARY2009ttl!Q21/HUNGARY2009ttl!$BE$17</f>
        <v>1.1008097066953691E-2</v>
      </c>
      <c r="R25" s="4">
        <f>HUNGARY2009ttl!R21/HUNGARY2009ttl!$BE$18</f>
        <v>1.2179261030050601E-2</v>
      </c>
      <c r="S25" s="4">
        <f>HUNGARY2009ttl!S21/HUNGARY2009ttl!$BE$19</f>
        <v>1.613333010343742E-2</v>
      </c>
      <c r="T25" s="4">
        <f>HUNGARY2009ttl!T21/HUNGARY2009ttl!$BE$20</f>
        <v>1.4054534041673677E-2</v>
      </c>
      <c r="U25" s="4">
        <f>HUNGARY2009ttl!U21/HUNGARY2009ttl!$BE$21</f>
        <v>0.15253582374977079</v>
      </c>
      <c r="V25" s="4">
        <f>HUNGARY2009ttl!V21/HUNGARY2009ttl!$BE$22</f>
        <v>2.95525494276795E-2</v>
      </c>
      <c r="W25" s="4">
        <f>HUNGARY2009ttl!W21/HUNGARY2009ttl!$BE$23</f>
        <v>7.0132692371011815E-3</v>
      </c>
      <c r="X25" s="4">
        <f>HUNGARY2009ttl!X21/HUNGARY2009ttl!$BE$24</f>
        <v>2.4353344895022343E-3</v>
      </c>
      <c r="Y25" s="4">
        <f>HUNGARY2009ttl!Y21/HUNGARY2009ttl!$BE$25</f>
        <v>6.1250687694846878E-3</v>
      </c>
      <c r="Z25" s="4">
        <f>HUNGARY2009ttl!Z21/HUNGARY2009ttl!$BE$26</f>
        <v>8.8344158111599968E-3</v>
      </c>
      <c r="AA25" s="4">
        <f>HUNGARY2009ttl!AA21/HUNGARY2009ttl!$BE$27</f>
        <v>1.4345305118228555E-2</v>
      </c>
      <c r="AB25" s="4">
        <f>HUNGARY2009ttl!AB21/HUNGARY2009ttl!$BE$28</f>
        <v>1.5982897281889438E-2</v>
      </c>
      <c r="AC25" s="4">
        <f>HUNGARY2009ttl!AC21/HUNGARY2009ttl!$BE$29</f>
        <v>1.3706453455168473E-2</v>
      </c>
      <c r="AD25" s="4">
        <f>HUNGARY2009ttl!AD21/HUNGARY2009ttl!$BE$30</f>
        <v>1.5502540694169321E-3</v>
      </c>
      <c r="AE25" s="4">
        <f>HUNGARY2009ttl!AE21/HUNGARY2009ttl!$BE$31</f>
        <v>5.1160498462838235E-3</v>
      </c>
      <c r="AF25" s="4">
        <f>HUNGARY2009ttl!AF21/HUNGARY2009ttl!$BE$32</f>
        <v>1.0093873019077421E-3</v>
      </c>
      <c r="AG25" s="4">
        <f>HUNGARY2009ttl!AG21/HUNGARY2009ttl!$BE$33</f>
        <v>4.8138342189553977E-4</v>
      </c>
      <c r="AH25" s="4">
        <f>HUNGARY2009ttl!AH21/HUNGARY2009ttl!$BE$34</f>
        <v>4.1692724619553888E-4</v>
      </c>
      <c r="AI25" s="4">
        <f>HUNGARY2009ttl!AI21/HUNGARY2009ttl!$BE$35</f>
        <v>1.3156679900286213E-3</v>
      </c>
      <c r="AJ25" s="4">
        <f>HUNGARY2009ttl!AJ21/HUNGARY2009ttl!$BE$36</f>
        <v>1.4688020789198652E-3</v>
      </c>
      <c r="AK25" s="4">
        <f>HUNGARY2009ttl!AK21/HUNGARY2009ttl!$BE$37</f>
        <v>4.8432717269169666E-4</v>
      </c>
      <c r="AL25" s="4">
        <f>HUNGARY2009ttl!AL21/HUNGARY2009ttl!$BE$38</f>
        <v>1.5868994119137474E-3</v>
      </c>
      <c r="AM25" s="4">
        <f>HUNGARY2009ttl!AM21/HUNGARY2009ttl!$BE$39</f>
        <v>1.8048826826256299E-3</v>
      </c>
      <c r="AN25" s="4">
        <f>HUNGARY2009ttl!AN21/HUNGARY2009ttl!$BE$40</f>
        <v>3.8916514809895927E-3</v>
      </c>
      <c r="AO25" s="4">
        <f>HUNGARY2009ttl!AO21/HUNGARY2009ttl!$BE$41</f>
        <v>7.5616016053861872E-4</v>
      </c>
      <c r="AP25" s="4">
        <f>HUNGARY2009ttl!AP21/HUNGARY2009ttl!$BE$42</f>
        <v>3.6775106082036777E-4</v>
      </c>
      <c r="AQ25" s="4">
        <f>HUNGARY2009ttl!AQ21/HUNGARY2009ttl!$BE$43</f>
        <v>7.8738189271609254E-4</v>
      </c>
      <c r="AR25" s="4">
        <f>HUNGARY2009ttl!AR21/HUNGARY2009ttl!$BE$44</f>
        <v>1.0040534007660555E-3</v>
      </c>
      <c r="AS25" s="4">
        <f>HUNGARY2009ttl!AS21/HUNGARY2009ttl!$BE$45</f>
        <v>2.3861545538178472E-3</v>
      </c>
      <c r="AT25" s="4">
        <f>HUNGARY2009ttl!AT21/HUNGARY2009ttl!$BE$46</f>
        <v>0</v>
      </c>
    </row>
    <row r="26" spans="1:46" x14ac:dyDescent="0.3">
      <c r="A26" s="14" t="s">
        <v>74</v>
      </c>
      <c r="B26" s="4">
        <f>HUNGARY2009ttl!B22/HUNGARY2009ttl!$BE$2</f>
        <v>9.4784932987052368E-5</v>
      </c>
      <c r="C26" s="4">
        <f>HUNGARY2009ttl!C22/HUNGARY2009ttl!$BE$3</f>
        <v>0</v>
      </c>
      <c r="D26" s="4">
        <f>HUNGARY2009ttl!D22/HUNGARY2009ttl!$BE$4</f>
        <v>0</v>
      </c>
      <c r="E26" s="4">
        <f>HUNGARY2009ttl!E22/HUNGARY2009ttl!$BE$5</f>
        <v>0</v>
      </c>
      <c r="F26" s="4">
        <f>HUNGARY2009ttl!F22/HUNGARY2009ttl!$BE$6</f>
        <v>0</v>
      </c>
      <c r="G26" s="4">
        <f>HUNGARY2009ttl!G22/HUNGARY2009ttl!$BE$7</f>
        <v>8.1253910344435308E-5</v>
      </c>
      <c r="H26" s="4">
        <f>HUNGARY2009ttl!H22/HUNGARY2009ttl!$BE$8</f>
        <v>6.2154266890422036E-5</v>
      </c>
      <c r="I26" s="4">
        <f>HUNGARY2009ttl!I22/HUNGARY2009ttl!$BE$9</f>
        <v>9.7732603596559811E-5</v>
      </c>
      <c r="J26" s="4">
        <f>HUNGARY2009ttl!J22/HUNGARY2009ttl!$BE$10</f>
        <v>3.9525691699604751E-5</v>
      </c>
      <c r="K26" s="4">
        <f>HUNGARY2009ttl!K22/HUNGARY2009ttl!$BE$11</f>
        <v>1.6502739454749489E-5</v>
      </c>
      <c r="L26" s="4">
        <f>HUNGARY2009ttl!L22/HUNGARY2009ttl!$BE$12</f>
        <v>2.6749411512946726E-5</v>
      </c>
      <c r="M26" s="4">
        <f>HUNGARY2009ttl!M22/HUNGARY2009ttl!$BE$13</f>
        <v>3.0068857684096583E-5</v>
      </c>
      <c r="N26" s="4">
        <f>HUNGARY2009ttl!N22/HUNGARY2009ttl!$BE$14</f>
        <v>7.314575510801189E-5</v>
      </c>
      <c r="O26" s="4">
        <f>HUNGARY2009ttl!O22/HUNGARY2009ttl!$BE$15</f>
        <v>3.7701704117026095E-5</v>
      </c>
      <c r="P26" s="4">
        <f>HUNGARY2009ttl!P22/HUNGARY2009ttl!$BE$16</f>
        <v>2.6024893376272947E-2</v>
      </c>
      <c r="Q26" s="4">
        <f>HUNGARY2009ttl!Q22/HUNGARY2009ttl!$BE$17</f>
        <v>2.9354925511876508E-4</v>
      </c>
      <c r="R26" s="4">
        <f>HUNGARY2009ttl!R22/HUNGARY2009ttl!$BE$18</f>
        <v>2.738095864948687E-4</v>
      </c>
      <c r="S26" s="4">
        <f>HUNGARY2009ttl!S22/HUNGARY2009ttl!$BE$19</f>
        <v>9.4474455560669593E-4</v>
      </c>
      <c r="T26" s="4">
        <f>HUNGARY2009ttl!T22/HUNGARY2009ttl!$BE$20</f>
        <v>1.9902934917402811E-3</v>
      </c>
      <c r="U26" s="4">
        <f>HUNGARY2009ttl!U22/HUNGARY2009ttl!$BE$21</f>
        <v>4.7808660571608207E-4</v>
      </c>
      <c r="V26" s="4">
        <f>HUNGARY2009ttl!V22/HUNGARY2009ttl!$BE$22</f>
        <v>0.19729448491155047</v>
      </c>
      <c r="W26" s="4">
        <f>HUNGARY2009ttl!W22/HUNGARY2009ttl!$BE$23</f>
        <v>7.3096045569786957E-3</v>
      </c>
      <c r="X26" s="4">
        <f>HUNGARY2009ttl!X22/HUNGARY2009ttl!$BE$24</f>
        <v>7.3798014833401028E-5</v>
      </c>
      <c r="Y26" s="4">
        <f>HUNGARY2009ttl!Y22/HUNGARY2009ttl!$BE$25</f>
        <v>1.1003117549972493E-4</v>
      </c>
      <c r="Z26" s="4">
        <f>HUNGARY2009ttl!Z22/HUNGARY2009ttl!$BE$26</f>
        <v>5.0981213771911444E-4</v>
      </c>
      <c r="AA26" s="4">
        <f>HUNGARY2009ttl!AA22/HUNGARY2009ttl!$BE$27</f>
        <v>7.1726525591142771E-4</v>
      </c>
      <c r="AB26" s="4">
        <f>HUNGARY2009ttl!AB22/HUNGARY2009ttl!$BE$28</f>
        <v>1.5270284027282905E-3</v>
      </c>
      <c r="AC26" s="4">
        <f>HUNGARY2009ttl!AC22/HUNGARY2009ttl!$BE$29</f>
        <v>5.7110222729868647E-4</v>
      </c>
      <c r="AD26" s="4">
        <f>HUNGARY2009ttl!AD22/HUNGARY2009ttl!$BE$30</f>
        <v>6.0287658255102914E-4</v>
      </c>
      <c r="AE26" s="4">
        <f>HUNGARY2009ttl!AE22/HUNGARY2009ttl!$BE$31</f>
        <v>3.1447278871652856E-3</v>
      </c>
      <c r="AF26" s="4">
        <f>HUNGARY2009ttl!AF22/HUNGARY2009ttl!$BE$32</f>
        <v>1.0093873019077422E-4</v>
      </c>
      <c r="AG26" s="4">
        <f>HUNGARY2009ttl!AG22/HUNGARY2009ttl!$BE$33</f>
        <v>1.8514746995982298E-5</v>
      </c>
      <c r="AH26" s="4">
        <f>HUNGARY2009ttl!AH22/HUNGARY2009ttl!$BE$34</f>
        <v>2.9780517585395638E-5</v>
      </c>
      <c r="AI26" s="4">
        <f>HUNGARY2009ttl!AI22/HUNGARY2009ttl!$BE$35</f>
        <v>4.6163789123811277E-5</v>
      </c>
      <c r="AJ26" s="4">
        <f>HUNGARY2009ttl!AJ22/HUNGARY2009ttl!$BE$36</f>
        <v>1.1298477530152808E-4</v>
      </c>
      <c r="AK26" s="4">
        <f>HUNGARY2009ttl!AK22/HUNGARY2009ttl!$BE$37</f>
        <v>9.6865434538339347E-6</v>
      </c>
      <c r="AL26" s="4">
        <f>HUNGARY2009ttl!AL22/HUNGARY2009ttl!$BE$38</f>
        <v>3.3338222939364443E-5</v>
      </c>
      <c r="AM26" s="4">
        <f>HUNGARY2009ttl!AM22/HUNGARY2009ttl!$BE$39</f>
        <v>6.6495677780944263E-5</v>
      </c>
      <c r="AN26" s="4">
        <f>HUNGARY2009ttl!AN22/HUNGARY2009ttl!$BE$40</f>
        <v>2.208357784847269E-3</v>
      </c>
      <c r="AO26" s="4">
        <f>HUNGARY2009ttl!AO22/HUNGARY2009ttl!$BE$41</f>
        <v>6.4709859892247176E-4</v>
      </c>
      <c r="AP26" s="4">
        <f>HUNGARY2009ttl!AP22/HUNGARY2009ttl!$BE$42</f>
        <v>5.6577086280056583E-5</v>
      </c>
      <c r="AQ26" s="4">
        <f>HUNGARY2009ttl!AQ22/HUNGARY2009ttl!$BE$43</f>
        <v>1.1248312753087037E-4</v>
      </c>
      <c r="AR26" s="4">
        <f>HUNGARY2009ttl!AR22/HUNGARY2009ttl!$BE$44</f>
        <v>1.8593581495667693E-4</v>
      </c>
      <c r="AS26" s="4">
        <f>HUNGARY2009ttl!AS22/HUNGARY2009ttl!$BE$45</f>
        <v>1.4374425022999077E-4</v>
      </c>
      <c r="AT26" s="4">
        <f>HUNGARY2009ttl!AT22/HUNGARY2009ttl!$BE$46</f>
        <v>0</v>
      </c>
    </row>
    <row r="27" spans="1:46" x14ac:dyDescent="0.3">
      <c r="A27" s="14" t="s">
        <v>75</v>
      </c>
      <c r="B27" s="4">
        <f>HUNGARY2009ttl!B23/HUNGARY2009ttl!$BE$2</f>
        <v>8.8149987677958708E-4</v>
      </c>
      <c r="C27" s="4">
        <f>HUNGARY2009ttl!C23/HUNGARY2009ttl!$BE$3</f>
        <v>2.1141649048625794E-3</v>
      </c>
      <c r="D27" s="4">
        <f>HUNGARY2009ttl!D23/HUNGARY2009ttl!$BE$4</f>
        <v>1.8796992481203154E-3</v>
      </c>
      <c r="E27" s="4">
        <f>HUNGARY2009ttl!E23/HUNGARY2009ttl!$BE$5</f>
        <v>7.4051218759642063E-3</v>
      </c>
      <c r="F27" s="4">
        <f>HUNGARY2009ttl!F23/HUNGARY2009ttl!$BE$6</f>
        <v>7.0148090413094319E-3</v>
      </c>
      <c r="G27" s="4">
        <f>HUNGARY2009ttl!G23/HUNGARY2009ttl!$BE$7</f>
        <v>2.3319872268852933E-3</v>
      </c>
      <c r="H27" s="4">
        <f>HUNGARY2009ttl!H23/HUNGARY2009ttl!$BE$8</f>
        <v>2.4488781154826281E-2</v>
      </c>
      <c r="I27" s="4">
        <f>HUNGARY2009ttl!I23/HUNGARY2009ttl!$BE$9</f>
        <v>6.8412822517591862E-3</v>
      </c>
      <c r="J27" s="4">
        <f>HUNGARY2009ttl!J23/HUNGARY2009ttl!$BE$10</f>
        <v>4.2687747035573135E-3</v>
      </c>
      <c r="K27" s="4">
        <f>HUNGARY2009ttl!K23/HUNGARY2009ttl!$BE$11</f>
        <v>9.2415340946597133E-3</v>
      </c>
      <c r="L27" s="4">
        <f>HUNGARY2009ttl!L23/HUNGARY2009ttl!$BE$12</f>
        <v>7.6770811042157095E-3</v>
      </c>
      <c r="M27" s="4">
        <f>HUNGARY2009ttl!M23/HUNGARY2009ttl!$BE$13</f>
        <v>5.0515680909282261E-3</v>
      </c>
      <c r="N27" s="4">
        <f>HUNGARY2009ttl!N23/HUNGARY2009ttl!$BE$14</f>
        <v>7.4608670210172126E-3</v>
      </c>
      <c r="O27" s="4">
        <f>HUNGARY2009ttl!O23/HUNGARY2009ttl!$BE$15</f>
        <v>3.1292414417131661E-3</v>
      </c>
      <c r="P27" s="4">
        <f>HUNGARY2009ttl!P23/HUNGARY2009ttl!$BE$16</f>
        <v>4.1343894159630943E-3</v>
      </c>
      <c r="Q27" s="4">
        <f>HUNGARY2009ttl!Q23/HUNGARY2009ttl!$BE$17</f>
        <v>5.0147997749455707E-3</v>
      </c>
      <c r="R27" s="4">
        <f>HUNGARY2009ttl!R23/HUNGARY2009ttl!$BE$18</f>
        <v>5.7815947302185724E-3</v>
      </c>
      <c r="S27" s="4">
        <f>HUNGARY2009ttl!S23/HUNGARY2009ttl!$BE$19</f>
        <v>5.0144134105278475E-3</v>
      </c>
      <c r="T27" s="4">
        <f>HUNGARY2009ttl!T23/HUNGARY2009ttl!$BE$20</f>
        <v>1.1543702252093632E-2</v>
      </c>
      <c r="U27" s="4">
        <f>HUNGARY2009ttl!U23/HUNGARY2009ttl!$BE$21</f>
        <v>7.3153799806145716E-3</v>
      </c>
      <c r="V27" s="4">
        <f>HUNGARY2009ttl!V23/HUNGARY2009ttl!$BE$22</f>
        <v>5.2029136316337149E-3</v>
      </c>
      <c r="W27" s="4">
        <f>HUNGARY2009ttl!W23/HUNGARY2009ttl!$BE$23</f>
        <v>3.1378617760363499E-2</v>
      </c>
      <c r="X27" s="4">
        <f>HUNGARY2009ttl!X23/HUNGARY2009ttl!$BE$24</f>
        <v>2.0995535220102592E-2</v>
      </c>
      <c r="Y27" s="4">
        <f>HUNGARY2009ttl!Y23/HUNGARY2009ttl!$BE$25</f>
        <v>3.9611223179900979E-3</v>
      </c>
      <c r="Z27" s="4">
        <f>HUNGARY2009ttl!Z23/HUNGARY2009ttl!$BE$26</f>
        <v>5.6079335149102584E-3</v>
      </c>
      <c r="AA27" s="4">
        <f>HUNGARY2009ttl!AA23/HUNGARY2009ttl!$BE$27</f>
        <v>2.035590782139694E-3</v>
      </c>
      <c r="AB27" s="4">
        <f>HUNGARY2009ttl!AB23/HUNGARY2009ttl!$BE$28</f>
        <v>1.4723098849638601E-2</v>
      </c>
      <c r="AC27" s="4">
        <f>HUNGARY2009ttl!AC23/HUNGARY2009ttl!$BE$29</f>
        <v>1.085094231867504E-2</v>
      </c>
      <c r="AD27" s="4">
        <f>HUNGARY2009ttl!AD23/HUNGARY2009ttl!$BE$30</f>
        <v>1.1885281198863146E-2</v>
      </c>
      <c r="AE27" s="4">
        <f>HUNGARY2009ttl!AE23/HUNGARY2009ttl!$BE$31</f>
        <v>1.8586749900260494E-2</v>
      </c>
      <c r="AF27" s="4">
        <f>HUNGARY2009ttl!AF23/HUNGARY2009ttl!$BE$32</f>
        <v>1.3122034924800648E-3</v>
      </c>
      <c r="AG27" s="4">
        <f>HUNGARY2009ttl!AG23/HUNGARY2009ttl!$BE$33</f>
        <v>8.3316361481920341E-4</v>
      </c>
      <c r="AH27" s="4">
        <f>HUNGARY2009ttl!AH23/HUNGARY2009ttl!$BE$34</f>
        <v>1.1316596682450341E-3</v>
      </c>
      <c r="AI27" s="4">
        <f>HUNGARY2009ttl!AI23/HUNGARY2009ttl!$BE$35</f>
        <v>4.8702797525620898E-3</v>
      </c>
      <c r="AJ27" s="4">
        <f>HUNGARY2009ttl!AJ23/HUNGARY2009ttl!$BE$36</f>
        <v>1.5535406603960111E-3</v>
      </c>
      <c r="AK27" s="4">
        <f>HUNGARY2009ttl!AK23/HUNGARY2009ttl!$BE$37</f>
        <v>1.753264365143942E-3</v>
      </c>
      <c r="AL27" s="4">
        <f>HUNGARY2009ttl!AL23/HUNGARY2009ttl!$BE$38</f>
        <v>1.493552387683527E-3</v>
      </c>
      <c r="AM27" s="4">
        <f>HUNGARY2009ttl!AM23/HUNGARY2009ttl!$BE$39</f>
        <v>2.0803647762895417E-3</v>
      </c>
      <c r="AN27" s="4">
        <f>HUNGARY2009ttl!AN23/HUNGARY2009ttl!$BE$40</f>
        <v>1.8222812490348093E-3</v>
      </c>
      <c r="AO27" s="4">
        <f>HUNGARY2009ttl!AO23/HUNGARY2009ttl!$BE$41</f>
        <v>2.1085235245788406E-3</v>
      </c>
      <c r="AP27" s="4">
        <f>HUNGARY2009ttl!AP23/HUNGARY2009ttl!$BE$42</f>
        <v>2.5459688826025458E-3</v>
      </c>
      <c r="AQ27" s="4">
        <f>HUNGARY2009ttl!AQ23/HUNGARY2009ttl!$BE$43</f>
        <v>2.2059191121331801E-2</v>
      </c>
      <c r="AR27" s="4">
        <f>HUNGARY2009ttl!AR23/HUNGARY2009ttl!$BE$44</f>
        <v>2.6402885723848125E-3</v>
      </c>
      <c r="AS27" s="4">
        <f>HUNGARY2009ttl!AS23/HUNGARY2009ttl!$BE$45</f>
        <v>1.9836706531738729E-3</v>
      </c>
      <c r="AT27" s="4">
        <f>HUNGARY2009ttl!AT23/HUNGARY2009ttl!$BE$46</f>
        <v>0</v>
      </c>
    </row>
    <row r="28" spans="1:46" x14ac:dyDescent="0.3">
      <c r="A28" s="14" t="s">
        <v>76</v>
      </c>
      <c r="B28" s="4">
        <f>HUNGARY2009ttl!B24/HUNGARY2009ttl!$BE$2</f>
        <v>2.1592007734450532E-2</v>
      </c>
      <c r="C28" s="4">
        <f>HUNGARY2009ttl!C24/HUNGARY2009ttl!$BE$3</f>
        <v>2.9598308668076105E-2</v>
      </c>
      <c r="D28" s="4">
        <f>HUNGARY2009ttl!D24/HUNGARY2009ttl!$BE$4</f>
        <v>1.0338345864661735E-2</v>
      </c>
      <c r="E28" s="4">
        <f>HUNGARY2009ttl!E24/HUNGARY2009ttl!$BE$5</f>
        <v>4.2887997531626032E-2</v>
      </c>
      <c r="F28" s="4">
        <f>HUNGARY2009ttl!F24/HUNGARY2009ttl!$BE$6</f>
        <v>1.3639906469212785E-2</v>
      </c>
      <c r="G28" s="4">
        <f>HUNGARY2009ttl!G24/HUNGARY2009ttl!$BE$7</f>
        <v>2.2336699953685264E-2</v>
      </c>
      <c r="H28" s="4">
        <f>HUNGARY2009ttl!H24/HUNGARY2009ttl!$BE$8</f>
        <v>1.2741624712536516E-2</v>
      </c>
      <c r="I28" s="4">
        <f>HUNGARY2009ttl!I24/HUNGARY2009ttl!$BE$9</f>
        <v>3.0883502736512899E-2</v>
      </c>
      <c r="J28" s="4">
        <f>HUNGARY2009ttl!J24/HUNGARY2009ttl!$BE$10</f>
        <v>4.3833992094861669E-2</v>
      </c>
      <c r="K28" s="4">
        <f>HUNGARY2009ttl!K24/HUNGARY2009ttl!$BE$11</f>
        <v>4.0976302066142979E-2</v>
      </c>
      <c r="L28" s="4">
        <f>HUNGARY2009ttl!L24/HUNGARY2009ttl!$BE$12</f>
        <v>8.6855339182538016E-2</v>
      </c>
      <c r="M28" s="4">
        <f>HUNGARY2009ttl!M24/HUNGARY2009ttl!$BE$13</f>
        <v>2.7272453919475602E-2</v>
      </c>
      <c r="N28" s="4">
        <f>HUNGARY2009ttl!N24/HUNGARY2009ttl!$BE$14</f>
        <v>2.6966401716487048E-2</v>
      </c>
      <c r="O28" s="4">
        <f>HUNGARY2009ttl!O24/HUNGARY2009ttl!$BE$15</f>
        <v>7.2538078721158208E-2</v>
      </c>
      <c r="P28" s="4">
        <f>HUNGARY2009ttl!P24/HUNGARY2009ttl!$BE$16</f>
        <v>6.1624162242144641E-2</v>
      </c>
      <c r="Q28" s="4">
        <f>HUNGARY2009ttl!Q24/HUNGARY2009ttl!$BE$17</f>
        <v>1.5729347586780497E-2</v>
      </c>
      <c r="R28" s="4">
        <f>HUNGARY2009ttl!R24/HUNGARY2009ttl!$BE$18</f>
        <v>6.6609447483847858E-3</v>
      </c>
      <c r="S28" s="4">
        <f>HUNGARY2009ttl!S24/HUNGARY2009ttl!$BE$19</f>
        <v>1.2548145636006883E-2</v>
      </c>
      <c r="T28" s="4">
        <f>HUNGARY2009ttl!T24/HUNGARY2009ttl!$BE$20</f>
        <v>1.4728171838878082E-2</v>
      </c>
      <c r="U28" s="4">
        <f>HUNGARY2009ttl!U24/HUNGARY2009ttl!$BE$21</f>
        <v>1.2004558195583267E-2</v>
      </c>
      <c r="V28" s="4">
        <f>HUNGARY2009ttl!V24/HUNGARY2009ttl!$BE$22</f>
        <v>2.2268470343392299E-2</v>
      </c>
      <c r="W28" s="4">
        <f>HUNGARY2009ttl!W24/HUNGARY2009ttl!$BE$23</f>
        <v>1.2413157288202562E-2</v>
      </c>
      <c r="X28" s="4">
        <f>HUNGARY2009ttl!X24/HUNGARY2009ttl!$BE$24</f>
        <v>6.0514372163388841E-2</v>
      </c>
      <c r="Y28" s="4">
        <f>HUNGARY2009ttl!Y24/HUNGARY2009ttl!$BE$25</f>
        <v>6.1030625343847435E-2</v>
      </c>
      <c r="Z28" s="4">
        <f>HUNGARY2009ttl!Z24/HUNGARY2009ttl!$BE$26</f>
        <v>7.472588867937704E-3</v>
      </c>
      <c r="AA28" s="4">
        <f>HUNGARY2009ttl!AA24/HUNGARY2009ttl!$BE$27</f>
        <v>2.5012121382118058E-2</v>
      </c>
      <c r="AB28" s="4">
        <f>HUNGARY2009ttl!AB24/HUNGARY2009ttl!$BE$28</f>
        <v>1.514303166038888E-2</v>
      </c>
      <c r="AC28" s="4">
        <f>HUNGARY2009ttl!AC24/HUNGARY2009ttl!$BE$29</f>
        <v>8.5665334094802963E-3</v>
      </c>
      <c r="AD28" s="4">
        <f>HUNGARY2009ttl!AD24/HUNGARY2009ttl!$BE$30</f>
        <v>2.7560072345189906E-3</v>
      </c>
      <c r="AE28" s="4">
        <f>HUNGARY2009ttl!AE24/HUNGARY2009ttl!$BE$31</f>
        <v>4.703010959611368E-2</v>
      </c>
      <c r="AF28" s="4">
        <f>HUNGARY2009ttl!AF24/HUNGARY2009ttl!$BE$32</f>
        <v>1.0598566670031293E-2</v>
      </c>
      <c r="AG28" s="4">
        <f>HUNGARY2009ttl!AG24/HUNGARY2009ttl!$BE$33</f>
        <v>3.3530206809723941E-2</v>
      </c>
      <c r="AH28" s="4">
        <f>HUNGARY2009ttl!AH24/HUNGARY2009ttl!$BE$34</f>
        <v>6.8495190446409967E-3</v>
      </c>
      <c r="AI28" s="4">
        <f>HUNGARY2009ttl!AI24/HUNGARY2009ttl!$BE$35</f>
        <v>1.6711291662819684E-2</v>
      </c>
      <c r="AJ28" s="4">
        <f>HUNGARY2009ttl!AJ24/HUNGARY2009ttl!$BE$36</f>
        <v>9.8014292574075627E-3</v>
      </c>
      <c r="AK28" s="4">
        <f>HUNGARY2009ttl!AK24/HUNGARY2009ttl!$BE$37</f>
        <v>6.6159091789685766E-3</v>
      </c>
      <c r="AL28" s="4">
        <f>HUNGARY2009ttl!AL24/HUNGARY2009ttl!$BE$38</f>
        <v>1.7215858325887796E-2</v>
      </c>
      <c r="AM28" s="4">
        <f>HUNGARY2009ttl!AM24/HUNGARY2009ttl!$BE$39</f>
        <v>1.4743041702289355E-2</v>
      </c>
      <c r="AN28" s="4">
        <f>HUNGARY2009ttl!AN24/HUNGARY2009ttl!$BE$40</f>
        <v>9.5592550267164997E-3</v>
      </c>
      <c r="AO28" s="4">
        <f>HUNGARY2009ttl!AO24/HUNGARY2009ttl!$BE$41</f>
        <v>2.6465605618851654E-2</v>
      </c>
      <c r="AP28" s="4">
        <f>HUNGARY2009ttl!AP24/HUNGARY2009ttl!$BE$42</f>
        <v>3.1753889674681755E-2</v>
      </c>
      <c r="AQ28" s="4">
        <f>HUNGARY2009ttl!AQ24/HUNGARY2009ttl!$BE$43</f>
        <v>2.3858921161825728E-2</v>
      </c>
      <c r="AR28" s="4">
        <f>HUNGARY2009ttl!AR24/HUNGARY2009ttl!$BE$44</f>
        <v>5.0611728831207459E-2</v>
      </c>
      <c r="AS28" s="4">
        <f>HUNGARY2009ttl!AS24/HUNGARY2009ttl!$BE$45</f>
        <v>1.9606715731370742E-2</v>
      </c>
      <c r="AT28" s="4">
        <f>HUNGARY2009ttl!AT24/HUNGARY2009ttl!$BE$46</f>
        <v>0</v>
      </c>
    </row>
    <row r="29" spans="1:46" x14ac:dyDescent="0.3">
      <c r="A29" s="14" t="s">
        <v>77</v>
      </c>
      <c r="B29" s="4">
        <f>HUNGARY2009ttl!B25/HUNGARY2009ttl!$BE$2</f>
        <v>3.3269511478455382E-3</v>
      </c>
      <c r="C29" s="4">
        <f>HUNGARY2009ttl!C25/HUNGARY2009ttl!$BE$3</f>
        <v>4.2283298097251587E-3</v>
      </c>
      <c r="D29" s="4">
        <f>HUNGARY2009ttl!D25/HUNGARY2009ttl!$BE$4</f>
        <v>2.8195488721804727E-3</v>
      </c>
      <c r="E29" s="4">
        <f>HUNGARY2009ttl!E25/HUNGARY2009ttl!$BE$5</f>
        <v>5.862388151804997E-3</v>
      </c>
      <c r="F29" s="4">
        <f>HUNGARY2009ttl!F25/HUNGARY2009ttl!$BE$6</f>
        <v>8.1839438815276711E-3</v>
      </c>
      <c r="G29" s="4">
        <f>HUNGARY2009ttl!G25/HUNGARY2009ttl!$BE$7</f>
        <v>5.6471467689382538E-3</v>
      </c>
      <c r="H29" s="4">
        <f>HUNGARY2009ttl!H25/HUNGARY2009ttl!$BE$8</f>
        <v>2.6726334762881472E-3</v>
      </c>
      <c r="I29" s="4">
        <f>HUNGARY2009ttl!I25/HUNGARY2009ttl!$BE$9</f>
        <v>1.2412040656763094E-2</v>
      </c>
      <c r="J29" s="4">
        <f>HUNGARY2009ttl!J25/HUNGARY2009ttl!$BE$10</f>
        <v>6.7588932806324125E-3</v>
      </c>
      <c r="K29" s="4">
        <f>HUNGARY2009ttl!K25/HUNGARY2009ttl!$BE$11</f>
        <v>4.8683081391510986E-3</v>
      </c>
      <c r="L29" s="4">
        <f>HUNGARY2009ttl!L25/HUNGARY2009ttl!$BE$12</f>
        <v>1.7092873956772957E-2</v>
      </c>
      <c r="M29" s="4">
        <f>HUNGARY2009ttl!M25/HUNGARY2009ttl!$BE$13</f>
        <v>1.0193342754908741E-2</v>
      </c>
      <c r="N29" s="4">
        <f>HUNGARY2009ttl!N25/HUNGARY2009ttl!$BE$14</f>
        <v>4.6569464085434243E-3</v>
      </c>
      <c r="O29" s="4">
        <f>HUNGARY2009ttl!O25/HUNGARY2009ttl!$BE$15</f>
        <v>6.1076760669582274E-3</v>
      </c>
      <c r="P29" s="4">
        <f>HUNGARY2009ttl!P25/HUNGARY2009ttl!$BE$16</f>
        <v>5.709809382887978E-2</v>
      </c>
      <c r="Q29" s="4">
        <f>HUNGARY2009ttl!Q25/HUNGARY2009ttl!$BE$17</f>
        <v>2.3483940409501206E-3</v>
      </c>
      <c r="R29" s="4">
        <f>HUNGARY2009ttl!R25/HUNGARY2009ttl!$BE$18</f>
        <v>8.6355331125304729E-4</v>
      </c>
      <c r="S29" s="4">
        <f>HUNGARY2009ttl!S25/HUNGARY2009ttl!$BE$19</f>
        <v>1.5987984787190239E-3</v>
      </c>
      <c r="T29" s="4">
        <f>HUNGARY2009ttl!T25/HUNGARY2009ttl!$BE$20</f>
        <v>1.8218840424391806E-3</v>
      </c>
      <c r="U29" s="4">
        <f>HUNGARY2009ttl!U25/HUNGARY2009ttl!$BE$21</f>
        <v>2.0695255809079719E-3</v>
      </c>
      <c r="V29" s="4">
        <f>HUNGARY2009ttl!V25/HUNGARY2009ttl!$BE$22</f>
        <v>3.1217481789802288E-3</v>
      </c>
      <c r="W29" s="4">
        <f>HUNGARY2009ttl!W25/HUNGARY2009ttl!$BE$23</f>
        <v>2.1401995324487172E-3</v>
      </c>
      <c r="X29" s="4">
        <f>HUNGARY2009ttl!X25/HUNGARY2009ttl!$BE$24</f>
        <v>3.800597763920153E-3</v>
      </c>
      <c r="Y29" s="4">
        <f>HUNGARY2009ttl!Y25/HUNGARY2009ttl!$BE$25</f>
        <v>8.9602053915276009E-2</v>
      </c>
      <c r="Z29" s="4">
        <f>HUNGARY2009ttl!Z25/HUNGARY2009ttl!$BE$26</f>
        <v>3.8759689922480615E-3</v>
      </c>
      <c r="AA29" s="4">
        <f>HUNGARY2009ttl!AA25/HUNGARY2009ttl!$BE$27</f>
        <v>6.4073024815775028E-3</v>
      </c>
      <c r="AB29" s="4">
        <f>HUNGARY2009ttl!AB25/HUNGARY2009ttl!$BE$28</f>
        <v>1.6288302962435099E-3</v>
      </c>
      <c r="AC29" s="4">
        <f>HUNGARY2009ttl!AC25/HUNGARY2009ttl!$BE$29</f>
        <v>5.1399200456881773E-3</v>
      </c>
      <c r="AD29" s="4">
        <f>HUNGARY2009ttl!AD25/HUNGARY2009ttl!$BE$30</f>
        <v>9.4737748686590296E-4</v>
      </c>
      <c r="AE29" s="4">
        <f>HUNGARY2009ttl!AE25/HUNGARY2009ttl!$BE$31</f>
        <v>2.1590669076060167E-3</v>
      </c>
      <c r="AF29" s="4">
        <f>HUNGARY2009ttl!AF25/HUNGARY2009ttl!$BE$32</f>
        <v>1.5140809528616133E-3</v>
      </c>
      <c r="AG29" s="4">
        <f>HUNGARY2009ttl!AG25/HUNGARY2009ttl!$BE$33</f>
        <v>7.4429282923848842E-3</v>
      </c>
      <c r="AH29" s="4">
        <f>HUNGARY2009ttl!AH25/HUNGARY2009ttl!$BE$34</f>
        <v>1.221001221001221E-3</v>
      </c>
      <c r="AI29" s="4">
        <f>HUNGARY2009ttl!AI25/HUNGARY2009ttl!$BE$35</f>
        <v>1.3618317791524327E-3</v>
      </c>
      <c r="AJ29" s="4">
        <f>HUNGARY2009ttl!AJ25/HUNGARY2009ttl!$BE$36</f>
        <v>9.603705900629887E-4</v>
      </c>
      <c r="AK29" s="4">
        <f>HUNGARY2009ttl!AK25/HUNGARY2009ttl!$BE$37</f>
        <v>2.005114494943624E-3</v>
      </c>
      <c r="AL29" s="4">
        <f>HUNGARY2009ttl!AL25/HUNGARY2009ttl!$BE$38</f>
        <v>3.9539132406086223E-3</v>
      </c>
      <c r="AM29" s="4">
        <f>HUNGARY2009ttl!AM25/HUNGARY2009ttl!$BE$39</f>
        <v>2.2133561318514305E-3</v>
      </c>
      <c r="AN29" s="4">
        <f>HUNGARY2009ttl!AN25/HUNGARY2009ttl!$BE$40</f>
        <v>3.9070945424220915E-3</v>
      </c>
      <c r="AO29" s="4">
        <f>HUNGARY2009ttl!AO25/HUNGARY2009ttl!$BE$41</f>
        <v>6.8708783818172562E-3</v>
      </c>
      <c r="AP29" s="4">
        <f>HUNGARY2009ttl!AP25/HUNGARY2009ttl!$BE$42</f>
        <v>6.067892503536068E-3</v>
      </c>
      <c r="AQ29" s="4">
        <f>HUNGARY2009ttl!AQ25/HUNGARY2009ttl!$BE$43</f>
        <v>9.1986202069689535E-3</v>
      </c>
      <c r="AR29" s="4">
        <f>HUNGARY2009ttl!AR25/HUNGARY2009ttl!$BE$44</f>
        <v>1.4205496262690118E-2</v>
      </c>
      <c r="AS29" s="4">
        <f>HUNGARY2009ttl!AS25/HUNGARY2009ttl!$BE$45</f>
        <v>7.4172033118675247E-3</v>
      </c>
      <c r="AT29" s="4">
        <f>HUNGARY2009ttl!AT25/HUNGARY2009ttl!$BE$46</f>
        <v>0</v>
      </c>
    </row>
    <row r="30" spans="1:46" x14ac:dyDescent="0.3">
      <c r="A30" s="14" t="s">
        <v>78</v>
      </c>
      <c r="B30" s="4">
        <f>HUNGARY2009ttl!B26/HUNGARY2009ttl!$BE$2</f>
        <v>1.3269890618187333E-3</v>
      </c>
      <c r="C30" s="4">
        <f>HUNGARY2009ttl!C26/HUNGARY2009ttl!$BE$3</f>
        <v>4.2283298097251587E-3</v>
      </c>
      <c r="D30" s="4">
        <f>HUNGARY2009ttl!D26/HUNGARY2009ttl!$BE$4</f>
        <v>1.8796992481203154E-3</v>
      </c>
      <c r="E30" s="4">
        <f>HUNGARY2009ttl!E26/HUNGARY2009ttl!$BE$5</f>
        <v>1.3884603517432887E-2</v>
      </c>
      <c r="F30" s="4">
        <f>HUNGARY2009ttl!F26/HUNGARY2009ttl!$BE$6</f>
        <v>1.2081060015588466E-2</v>
      </c>
      <c r="G30" s="4">
        <f>HUNGARY2009ttl!G26/HUNGARY2009ttl!$BE$7</f>
        <v>2.2832348806786323E-3</v>
      </c>
      <c r="H30" s="4">
        <f>HUNGARY2009ttl!H26/HUNGARY2009ttl!$BE$8</f>
        <v>1.8646280067126609E-3</v>
      </c>
      <c r="I30" s="4">
        <f>HUNGARY2009ttl!I26/HUNGARY2009ttl!$BE$9</f>
        <v>2.9319781078967944E-3</v>
      </c>
      <c r="J30" s="4">
        <f>HUNGARY2009ttl!J26/HUNGARY2009ttl!$BE$10</f>
        <v>2.490118577075099E-3</v>
      </c>
      <c r="K30" s="4">
        <f>HUNGARY2009ttl!K26/HUNGARY2009ttl!$BE$11</f>
        <v>3.8451382929566309E-3</v>
      </c>
      <c r="L30" s="4">
        <f>HUNGARY2009ttl!L26/HUNGARY2009ttl!$BE$12</f>
        <v>2.8086882088594061E-3</v>
      </c>
      <c r="M30" s="4">
        <f>HUNGARY2009ttl!M26/HUNGARY2009ttl!$BE$13</f>
        <v>1.8041314610457949E-3</v>
      </c>
      <c r="N30" s="4">
        <f>HUNGARY2009ttl!N26/HUNGARY2009ttl!$BE$14</f>
        <v>2.7063929389964398E-3</v>
      </c>
      <c r="O30" s="4">
        <f>HUNGARY2009ttl!O26/HUNGARY2009ttl!$BE$15</f>
        <v>8.5205851304478979E-3</v>
      </c>
      <c r="P30" s="4">
        <f>HUNGARY2009ttl!P26/HUNGARY2009ttl!$BE$16</f>
        <v>2.5241535381669415E-3</v>
      </c>
      <c r="Q30" s="4">
        <f>HUNGARY2009ttl!Q26/HUNGARY2009ttl!$BE$17</f>
        <v>4.1830768854424034E-3</v>
      </c>
      <c r="R30" s="4">
        <f>HUNGARY2009ttl!R26/HUNGARY2009ttl!$BE$18</f>
        <v>2.4274272956564319E-3</v>
      </c>
      <c r="S30" s="4">
        <f>HUNGARY2009ttl!S26/HUNGARY2009ttl!$BE$19</f>
        <v>2.519318814951189E-3</v>
      </c>
      <c r="T30" s="4">
        <f>HUNGARY2009ttl!T26/HUNGARY2009ttl!$BE$20</f>
        <v>4.271476032273373E-3</v>
      </c>
      <c r="U30" s="4">
        <f>HUNGARY2009ttl!U26/HUNGARY2009ttl!$BE$21</f>
        <v>3.5365310559819772E-3</v>
      </c>
      <c r="V30" s="4">
        <f>HUNGARY2009ttl!V26/HUNGARY2009ttl!$BE$22</f>
        <v>4.1623309053069723E-3</v>
      </c>
      <c r="W30" s="4">
        <f>HUNGARY2009ttl!W26/HUNGARY2009ttl!$BE$23</f>
        <v>3.8194330117546338E-3</v>
      </c>
      <c r="X30" s="4">
        <f>HUNGARY2009ttl!X26/HUNGARY2009ttl!$BE$24</f>
        <v>1.3800228773845994E-2</v>
      </c>
      <c r="Y30" s="4">
        <f>HUNGARY2009ttl!Y26/HUNGARY2009ttl!$BE$25</f>
        <v>1.522097927746195E-2</v>
      </c>
      <c r="Z30" s="4">
        <f>HUNGARY2009ttl!Z26/HUNGARY2009ttl!$BE$26</f>
        <v>3.6050003491863956E-2</v>
      </c>
      <c r="AA30" s="4">
        <f>HUNGARY2009ttl!AA26/HUNGARY2009ttl!$BE$27</f>
        <v>3.2577466651172666E-3</v>
      </c>
      <c r="AB30" s="4">
        <f>HUNGARY2009ttl!AB26/HUNGARY2009ttl!$BE$28</f>
        <v>4.2120533441922011E-3</v>
      </c>
      <c r="AC30" s="4">
        <f>HUNGARY2009ttl!AC26/HUNGARY2009ttl!$BE$29</f>
        <v>6.2821245002855509E-3</v>
      </c>
      <c r="AD30" s="4">
        <f>HUNGARY2009ttl!AD26/HUNGARY2009ttl!$BE$30</f>
        <v>3.7895099474636118E-3</v>
      </c>
      <c r="AE30" s="4">
        <f>HUNGARY2009ttl!AE26/HUNGARY2009ttl!$BE$31</f>
        <v>3.7337776630447531E-2</v>
      </c>
      <c r="AF30" s="4">
        <f>HUNGARY2009ttl!AF26/HUNGARY2009ttl!$BE$32</f>
        <v>2.2206520641970331E-3</v>
      </c>
      <c r="AG30" s="4">
        <f>HUNGARY2009ttl!AG26/HUNGARY2009ttl!$BE$33</f>
        <v>3.2771102182888668E-3</v>
      </c>
      <c r="AH30" s="4">
        <f>HUNGARY2009ttl!AH26/HUNGARY2009ttl!$BE$34</f>
        <v>2.5909050299294202E-3</v>
      </c>
      <c r="AI30" s="4">
        <f>HUNGARY2009ttl!AI26/HUNGARY2009ttl!$BE$35</f>
        <v>6.2782753208383332E-3</v>
      </c>
      <c r="AJ30" s="4">
        <f>HUNGARY2009ttl!AJ26/HUNGARY2009ttl!$BE$36</f>
        <v>2.4574188628082357E-3</v>
      </c>
      <c r="AK30" s="4">
        <f>HUNGARY2009ttl!AK26/HUNGARY2009ttl!$BE$37</f>
        <v>2.8090976016118406E-3</v>
      </c>
      <c r="AL30" s="4">
        <f>HUNGARY2009ttl!AL26/HUNGARY2009ttl!$BE$38</f>
        <v>1.7642587579511666E-2</v>
      </c>
      <c r="AM30" s="4">
        <f>HUNGARY2009ttl!AM26/HUNGARY2009ttl!$BE$39</f>
        <v>6.564073335233212E-3</v>
      </c>
      <c r="AN30" s="4">
        <f>HUNGARY2009ttl!AN26/HUNGARY2009ttl!$BE$40</f>
        <v>3.212156777959664E-3</v>
      </c>
      <c r="AO30" s="4">
        <f>HUNGARY2009ttl!AO26/HUNGARY2009ttl!$BE$41</f>
        <v>1.56612402480787E-2</v>
      </c>
      <c r="AP30" s="4">
        <f>HUNGARY2009ttl!AP26/HUNGARY2009ttl!$BE$42</f>
        <v>7.9632248939179636E-3</v>
      </c>
      <c r="AQ30" s="4">
        <f>HUNGARY2009ttl!AQ26/HUNGARY2009ttl!$BE$43</f>
        <v>4.3493475978603211E-3</v>
      </c>
      <c r="AR30" s="4">
        <f>HUNGARY2009ttl!AR26/HUNGARY2009ttl!$BE$44</f>
        <v>1.0114908333643225E-2</v>
      </c>
      <c r="AS30" s="4">
        <f>HUNGARY2009ttl!AS26/HUNGARY2009ttl!$BE$45</f>
        <v>6.842226310947561E-3</v>
      </c>
      <c r="AT30" s="4">
        <f>HUNGARY2009ttl!AT26/HUNGARY2009ttl!$BE$46</f>
        <v>0</v>
      </c>
    </row>
    <row r="31" spans="1:46" x14ac:dyDescent="0.3">
      <c r="A31" s="14" t="s">
        <v>79</v>
      </c>
      <c r="B31" s="4">
        <f>HUNGARY2009ttl!B27/HUNGARY2009ttl!$BE$2</f>
        <v>9.0623874428920781E-2</v>
      </c>
      <c r="C31" s="4">
        <f>HUNGARY2009ttl!C27/HUNGARY2009ttl!$BE$3</f>
        <v>7.8224101479915431E-2</v>
      </c>
      <c r="D31" s="4">
        <f>HUNGARY2009ttl!D27/HUNGARY2009ttl!$BE$4</f>
        <v>3.2894736842105518E-2</v>
      </c>
      <c r="E31" s="4">
        <f>HUNGARY2009ttl!E27/HUNGARY2009ttl!$BE$5</f>
        <v>4.7207651959271818E-2</v>
      </c>
      <c r="F31" s="4">
        <f>HUNGARY2009ttl!F27/HUNGARY2009ttl!$BE$6</f>
        <v>4.1309431021044431E-2</v>
      </c>
      <c r="G31" s="4">
        <f>HUNGARY2009ttl!G27/HUNGARY2009ttl!$BE$7</f>
        <v>0.10767768198844568</v>
      </c>
      <c r="H31" s="4">
        <f>HUNGARY2009ttl!H27/HUNGARY2009ttl!$BE$8</f>
        <v>0.15053763440860216</v>
      </c>
      <c r="I31" s="4">
        <f>HUNGARY2009ttl!I27/HUNGARY2009ttl!$BE$9</f>
        <v>9.0500390930414371E-2</v>
      </c>
      <c r="J31" s="4">
        <f>HUNGARY2009ttl!J27/HUNGARY2009ttl!$BE$10</f>
        <v>9.6482213438735198E-2</v>
      </c>
      <c r="K31" s="4">
        <f>HUNGARY2009ttl!K27/HUNGARY2009ttl!$BE$11</f>
        <v>8.789359033599578E-2</v>
      </c>
      <c r="L31" s="4">
        <f>HUNGARY2009ttl!L27/HUNGARY2009ttl!$BE$12</f>
        <v>0.11753691418788791</v>
      </c>
      <c r="M31" s="4">
        <f>HUNGARY2009ttl!M27/HUNGARY2009ttl!$BE$13</f>
        <v>8.3862044080945358E-2</v>
      </c>
      <c r="N31" s="4">
        <f>HUNGARY2009ttl!N27/HUNGARY2009ttl!$BE$14</f>
        <v>0.11025503486614326</v>
      </c>
      <c r="O31" s="4">
        <f>HUNGARY2009ttl!O27/HUNGARY2009ttl!$BE$15</f>
        <v>7.559191675463732E-2</v>
      </c>
      <c r="P31" s="4">
        <f>HUNGARY2009ttl!P27/HUNGARY2009ttl!$BE$16</f>
        <v>7.7683001131517077E-2</v>
      </c>
      <c r="Q31" s="4">
        <f>HUNGARY2009ttl!Q27/HUNGARY2009ttl!$BE$17</f>
        <v>6.8910687639130108E-2</v>
      </c>
      <c r="R31" s="4">
        <f>HUNGARY2009ttl!R27/HUNGARY2009ttl!$BE$18</f>
        <v>0.11700620810581686</v>
      </c>
      <c r="S31" s="4">
        <f>HUNGARY2009ttl!S27/HUNGARY2009ttl!$BE$19</f>
        <v>9.4474455560669593E-2</v>
      </c>
      <c r="T31" s="4">
        <f>HUNGARY2009ttl!T27/HUNGARY2009ttl!$BE$20</f>
        <v>7.3487759695025773E-2</v>
      </c>
      <c r="U31" s="4">
        <f>HUNGARY2009ttl!U27/HUNGARY2009ttl!$BE$21</f>
        <v>9.5479789379928237E-2</v>
      </c>
      <c r="V31" s="4">
        <f>HUNGARY2009ttl!V27/HUNGARY2009ttl!$BE$22</f>
        <v>6.8054110301769E-2</v>
      </c>
      <c r="W31" s="4">
        <f>HUNGARY2009ttl!W27/HUNGARY2009ttl!$BE$23</f>
        <v>8.1426360673010428E-2</v>
      </c>
      <c r="X31" s="4">
        <f>HUNGARY2009ttl!X27/HUNGARY2009ttl!$BE$24</f>
        <v>4.5828567211542041E-2</v>
      </c>
      <c r="Y31" s="4">
        <f>HUNGARY2009ttl!Y27/HUNGARY2009ttl!$BE$25</f>
        <v>3.2202457362919497E-2</v>
      </c>
      <c r="Z31" s="4">
        <f>HUNGARY2009ttl!Z27/HUNGARY2009ttl!$BE$26</f>
        <v>6.1994552692227103E-2</v>
      </c>
      <c r="AA31" s="4">
        <f>HUNGARY2009ttl!AA27/HUNGARY2009ttl!$BE$27</f>
        <v>6.6060530776289372E-2</v>
      </c>
      <c r="AB31" s="4">
        <f>HUNGARY2009ttl!AB27/HUNGARY2009ttl!$BE$28</f>
        <v>5.9935864807085404E-2</v>
      </c>
      <c r="AC31" s="4">
        <f>HUNGARY2009ttl!AC27/HUNGARY2009ttl!$BE$29</f>
        <v>8.5094231867504269E-2</v>
      </c>
      <c r="AD31" s="4">
        <f>HUNGARY2009ttl!AD27/HUNGARY2009ttl!$BE$30</f>
        <v>4.5301868917405903E-2</v>
      </c>
      <c r="AE31" s="4">
        <f>HUNGARY2009ttl!AE27/HUNGARY2009ttl!$BE$31</f>
        <v>2.9734106216704605E-2</v>
      </c>
      <c r="AF31" s="4">
        <f>HUNGARY2009ttl!AF27/HUNGARY2009ttl!$BE$32</f>
        <v>3.5631371757343294E-2</v>
      </c>
      <c r="AG31" s="4">
        <f>HUNGARY2009ttl!AG27/HUNGARY2009ttl!$BE$33</f>
        <v>9.051859806335745E-2</v>
      </c>
      <c r="AH31" s="4">
        <f>HUNGARY2009ttl!AH27/HUNGARY2009ttl!$BE$34</f>
        <v>2.3556389410047947E-2</v>
      </c>
      <c r="AI31" s="4">
        <f>HUNGARY2009ttl!AI27/HUNGARY2009ttl!$BE$35</f>
        <v>2.1720062782753204E-2</v>
      </c>
      <c r="AJ31" s="4">
        <f>HUNGARY2009ttl!AJ27/HUNGARY2009ttl!$BE$36</f>
        <v>2.1410614919639571E-2</v>
      </c>
      <c r="AK31" s="4">
        <f>HUNGARY2009ttl!AK27/HUNGARY2009ttl!$BE$37</f>
        <v>1.5721260025572475E-2</v>
      </c>
      <c r="AL31" s="4">
        <f>HUNGARY2009ttl!AL27/HUNGARY2009ttl!$BE$38</f>
        <v>1.735587886223313E-2</v>
      </c>
      <c r="AM31" s="4">
        <f>HUNGARY2009ttl!AM27/HUNGARY2009ttl!$BE$39</f>
        <v>2.4137931034482765E-2</v>
      </c>
      <c r="AN31" s="4">
        <f>HUNGARY2009ttl!AN27/HUNGARY2009ttl!$BE$40</f>
        <v>3.8947400932760924E-2</v>
      </c>
      <c r="AO31" s="4">
        <f>HUNGARY2009ttl!AO27/HUNGARY2009ttl!$BE$41</f>
        <v>1.1618691697506853E-2</v>
      </c>
      <c r="AP31" s="4">
        <f>HUNGARY2009ttl!AP27/HUNGARY2009ttl!$BE$42</f>
        <v>1.4582743988684583E-2</v>
      </c>
      <c r="AQ31" s="4">
        <f>HUNGARY2009ttl!AQ27/HUNGARY2009ttl!$BE$43</f>
        <v>5.4291856221566764E-2</v>
      </c>
      <c r="AR31" s="4">
        <f>HUNGARY2009ttl!AR27/HUNGARY2009ttl!$BE$44</f>
        <v>3.0567847978877689E-2</v>
      </c>
      <c r="AS31" s="4">
        <f>HUNGARY2009ttl!AS27/HUNGARY2009ttl!$BE$45</f>
        <v>3.0330036798528054E-2</v>
      </c>
      <c r="AT31" s="4">
        <f>HUNGARY2009ttl!AT27/HUNGARY2009ttl!$BE$46</f>
        <v>0</v>
      </c>
    </row>
    <row r="32" spans="1:46" x14ac:dyDescent="0.3">
      <c r="A32" s="14" t="s">
        <v>80</v>
      </c>
      <c r="B32" s="4">
        <f>HUNGARY2009ttl!B28/HUNGARY2009ttl!$BE$2</f>
        <v>1.3601637883642015E-2</v>
      </c>
      <c r="C32" s="4">
        <f>HUNGARY2009ttl!C28/HUNGARY2009ttl!$BE$3</f>
        <v>1.9027484143763214E-2</v>
      </c>
      <c r="D32" s="4">
        <f>HUNGARY2009ttl!D28/HUNGARY2009ttl!$BE$4</f>
        <v>4.5112781954887562E-2</v>
      </c>
      <c r="E32" s="4">
        <f>HUNGARY2009ttl!E28/HUNGARY2009ttl!$BE$5</f>
        <v>7.8987966676951543E-2</v>
      </c>
      <c r="F32" s="4">
        <f>HUNGARY2009ttl!F28/HUNGARY2009ttl!$BE$6</f>
        <v>4.6765393608729548E-2</v>
      </c>
      <c r="G32" s="4">
        <f>HUNGARY2009ttl!G28/HUNGARY2009ttl!$BE$7</f>
        <v>2.2864850370924096E-2</v>
      </c>
      <c r="H32" s="4">
        <f>HUNGARY2009ttl!H28/HUNGARY2009ttl!$BE$8</f>
        <v>1.5538566722605509E-2</v>
      </c>
      <c r="I32" s="4">
        <f>HUNGARY2009ttl!I28/HUNGARY2009ttl!$BE$9</f>
        <v>1.7689601250977325E-2</v>
      </c>
      <c r="J32" s="4">
        <f>HUNGARY2009ttl!J28/HUNGARY2009ttl!$BE$10</f>
        <v>2.0079051383399212E-2</v>
      </c>
      <c r="K32" s="4">
        <f>HUNGARY2009ttl!K28/HUNGARY2009ttl!$BE$11</f>
        <v>2.2757277708099544E-2</v>
      </c>
      <c r="L32" s="4">
        <f>HUNGARY2009ttl!L28/HUNGARY2009ttl!$BE$12</f>
        <v>1.925957628932164E-2</v>
      </c>
      <c r="M32" s="4">
        <f>HUNGARY2009ttl!M28/HUNGARY2009ttl!$BE$13</f>
        <v>8.6598310130198159E-3</v>
      </c>
      <c r="N32" s="4">
        <f>HUNGARY2009ttl!N28/HUNGARY2009ttl!$BE$14</f>
        <v>1.7067342858536106E-2</v>
      </c>
      <c r="O32" s="4">
        <f>HUNGARY2009ttl!O28/HUNGARY2009ttl!$BE$15</f>
        <v>4.2527522244005432E-2</v>
      </c>
      <c r="P32" s="4">
        <f>HUNGARY2009ttl!P28/HUNGARY2009ttl!$BE$16</f>
        <v>3.1116720341195919E-2</v>
      </c>
      <c r="Q32" s="4">
        <f>HUNGARY2009ttl!Q28/HUNGARY2009ttl!$BE$17</f>
        <v>1.7294943614080578E-2</v>
      </c>
      <c r="R32" s="4">
        <f>HUNGARY2009ttl!R28/HUNGARY2009ttl!$BE$18</f>
        <v>1.5838831464933943E-2</v>
      </c>
      <c r="S32" s="4">
        <f>HUNGARY2009ttl!S28/HUNGARY2009ttl!$BE$19</f>
        <v>1.7320316852789425E-2</v>
      </c>
      <c r="T32" s="4">
        <f>HUNGARY2009ttl!T28/HUNGARY2009ttl!$BE$20</f>
        <v>1.6519435981444335E-2</v>
      </c>
      <c r="U32" s="4">
        <f>HUNGARY2009ttl!U28/HUNGARY2009ttl!$BE$21</f>
        <v>1.5017158724753099E-2</v>
      </c>
      <c r="V32" s="4">
        <f>HUNGARY2009ttl!V28/HUNGARY2009ttl!$BE$22</f>
        <v>1.4151925078043704E-2</v>
      </c>
      <c r="W32" s="4">
        <f>HUNGARY2009ttl!W28/HUNGARY2009ttl!$BE$23</f>
        <v>1.4388726087385992E-2</v>
      </c>
      <c r="X32" s="4">
        <f>HUNGARY2009ttl!X28/HUNGARY2009ttl!$BE$24</f>
        <v>4.3553128420845508E-2</v>
      </c>
      <c r="Y32" s="4">
        <f>HUNGARY2009ttl!Y28/HUNGARY2009ttl!$BE$25</f>
        <v>1.5917843388960209E-2</v>
      </c>
      <c r="Z32" s="4">
        <f>HUNGARY2009ttl!Z28/HUNGARY2009ttl!$BE$26</f>
        <v>2.5581395348837205E-2</v>
      </c>
      <c r="AA32" s="4">
        <f>HUNGARY2009ttl!AA28/HUNGARY2009ttl!$BE$27</f>
        <v>3.834363817774554E-2</v>
      </c>
      <c r="AB32" s="4">
        <f>HUNGARY2009ttl!AB28/HUNGARY2009ttl!$BE$28</f>
        <v>1.7968034205436217E-2</v>
      </c>
      <c r="AC32" s="4">
        <f>HUNGARY2009ttl!AC28/HUNGARY2009ttl!$BE$29</f>
        <v>2.6841804683038262E-2</v>
      </c>
      <c r="AD32" s="4">
        <f>HUNGARY2009ttl!AD28/HUNGARY2009ttl!$BE$30</f>
        <v>1.6105417276720348E-2</v>
      </c>
      <c r="AE32" s="4">
        <f>HUNGARY2009ttl!AE28/HUNGARY2009ttl!$BE$31</f>
        <v>7.5802022951819937E-3</v>
      </c>
      <c r="AF32" s="4">
        <f>HUNGARY2009ttl!AF28/HUNGARY2009ttl!$BE$32</f>
        <v>1.6957706672050068E-2</v>
      </c>
      <c r="AG32" s="4">
        <f>HUNGARY2009ttl!AG28/HUNGARY2009ttl!$BE$33</f>
        <v>9.4054914739590077E-3</v>
      </c>
      <c r="AH32" s="4">
        <f>HUNGARY2009ttl!AH28/HUNGARY2009ttl!$BE$34</f>
        <v>6.0454450698353146E-3</v>
      </c>
      <c r="AI32" s="4">
        <f>HUNGARY2009ttl!AI28/HUNGARY2009ttl!$BE$35</f>
        <v>7.0861416305050308E-3</v>
      </c>
      <c r="AJ32" s="4">
        <f>HUNGARY2009ttl!AJ28/HUNGARY2009ttl!$BE$36</f>
        <v>4.632375787362651E-3</v>
      </c>
      <c r="AK32" s="4">
        <f>HUNGARY2009ttl!AK28/HUNGARY2009ttl!$BE$37</f>
        <v>3.1674997094036966E-3</v>
      </c>
      <c r="AL32" s="4">
        <f>HUNGARY2009ttl!AL28/HUNGARY2009ttl!$BE$38</f>
        <v>3.6405339449785972E-3</v>
      </c>
      <c r="AM32" s="4">
        <f>HUNGARY2009ttl!AM28/HUNGARY2009ttl!$BE$39</f>
        <v>7.0770399924004962E-3</v>
      </c>
      <c r="AN32" s="4">
        <f>HUNGARY2009ttl!AN28/HUNGARY2009ttl!$BE$40</f>
        <v>2.0832689872440319E-2</v>
      </c>
      <c r="AO32" s="4">
        <f>HUNGARY2009ttl!AO28/HUNGARY2009ttl!$BE$41</f>
        <v>4.6387517540734486E-3</v>
      </c>
      <c r="AP32" s="4">
        <f>HUNGARY2009ttl!AP28/HUNGARY2009ttl!$BE$42</f>
        <v>4.7383309759547387E-3</v>
      </c>
      <c r="AQ32" s="4">
        <f>HUNGARY2009ttl!AQ28/HUNGARY2009ttl!$BE$43</f>
        <v>5.661650752387142E-3</v>
      </c>
      <c r="AR32" s="4">
        <f>HUNGARY2009ttl!AR28/HUNGARY2009ttl!$BE$44</f>
        <v>9.1480420958685062E-3</v>
      </c>
      <c r="AS32" s="4">
        <f>HUNGARY2009ttl!AS28/HUNGARY2009ttl!$BE$45</f>
        <v>1.1183302667893281E-2</v>
      </c>
      <c r="AT32" s="4">
        <f>HUNGARY2009ttl!AT28/HUNGARY2009ttl!$BE$46</f>
        <v>0</v>
      </c>
    </row>
    <row r="33" spans="1:46" x14ac:dyDescent="0.3">
      <c r="A33" s="14" t="s">
        <v>81</v>
      </c>
      <c r="B33" s="4">
        <f>HUNGARY2009ttl!B29/HUNGARY2009ttl!$BE$2</f>
        <v>2.6539781236374665E-4</v>
      </c>
      <c r="C33" s="4">
        <f>HUNGARY2009ttl!C29/HUNGARY2009ttl!$BE$3</f>
        <v>0</v>
      </c>
      <c r="D33" s="4">
        <f>HUNGARY2009ttl!D29/HUNGARY2009ttl!$BE$4</f>
        <v>0</v>
      </c>
      <c r="E33" s="4">
        <f>HUNGARY2009ttl!E29/HUNGARY2009ttl!$BE$5</f>
        <v>3.0854674483184197E-4</v>
      </c>
      <c r="F33" s="4">
        <f>HUNGARY2009ttl!F29/HUNGARY2009ttl!$BE$6</f>
        <v>3.8971161340607956E-4</v>
      </c>
      <c r="G33" s="4">
        <f>HUNGARY2009ttl!G29/HUNGARY2009ttl!$BE$7</f>
        <v>3.3314103241218477E-4</v>
      </c>
      <c r="H33" s="4">
        <f>HUNGARY2009ttl!H29/HUNGARY2009ttl!$BE$8</f>
        <v>5.593884020137983E-4</v>
      </c>
      <c r="I33" s="4">
        <f>HUNGARY2009ttl!I29/HUNGARY2009ttl!$BE$9</f>
        <v>4.8866301798279903E-4</v>
      </c>
      <c r="J33" s="4">
        <f>HUNGARY2009ttl!J29/HUNGARY2009ttl!$BE$10</f>
        <v>3.5573122529644277E-4</v>
      </c>
      <c r="K33" s="4">
        <f>HUNGARY2009ttl!K29/HUNGARY2009ttl!$BE$11</f>
        <v>1.6667766849296983E-3</v>
      </c>
      <c r="L33" s="4">
        <f>HUNGARY2009ttl!L29/HUNGARY2009ttl!$BE$12</f>
        <v>7.7573293387545495E-4</v>
      </c>
      <c r="M33" s="4">
        <f>HUNGARY2009ttl!M29/HUNGARY2009ttl!$BE$13</f>
        <v>2.4055086147277267E-4</v>
      </c>
      <c r="N33" s="4">
        <f>HUNGARY2009ttl!N29/HUNGARY2009ttl!$BE$14</f>
        <v>4.6325644901740859E-4</v>
      </c>
      <c r="O33" s="4">
        <f>HUNGARY2009ttl!O29/HUNGARY2009ttl!$BE$15</f>
        <v>6.786306741064697E-4</v>
      </c>
      <c r="P33" s="4">
        <f>HUNGARY2009ttl!P29/HUNGARY2009ttl!$BE$16</f>
        <v>9.1391766037078929E-4</v>
      </c>
      <c r="Q33" s="4">
        <f>HUNGARY2009ttl!Q29/HUNGARY2009ttl!$BE$17</f>
        <v>3.9139900682502016E-4</v>
      </c>
      <c r="R33" s="4">
        <f>HUNGARY2009ttl!R29/HUNGARY2009ttl!$BE$18</f>
        <v>7.0558624212139229E-4</v>
      </c>
      <c r="S33" s="4">
        <f>HUNGARY2009ttl!S29/HUNGARY2009ttl!$BE$19</f>
        <v>6.5405392311232793E-4</v>
      </c>
      <c r="T33" s="4">
        <f>HUNGARY2009ttl!T29/HUNGARY2009ttl!$BE$20</f>
        <v>3.3681889860220145E-4</v>
      </c>
      <c r="U33" s="4">
        <f>HUNGARY2009ttl!U29/HUNGARY2009ttl!$BE$21</f>
        <v>7.2695360595185078E-4</v>
      </c>
      <c r="V33" s="4">
        <f>HUNGARY2009ttl!V29/HUNGARY2009ttl!$BE$22</f>
        <v>1.6649323621227888E-3</v>
      </c>
      <c r="W33" s="4">
        <f>HUNGARY2009ttl!W29/HUNGARY2009ttl!$BE$23</f>
        <v>3.6218761318362912E-4</v>
      </c>
      <c r="X33" s="4">
        <f>HUNGARY2009ttl!X29/HUNGARY2009ttl!$BE$24</f>
        <v>3.3209106675030468E-4</v>
      </c>
      <c r="Y33" s="4">
        <f>HUNGARY2009ttl!Y29/HUNGARY2009ttl!$BE$25</f>
        <v>1.4670823399963326E-4</v>
      </c>
      <c r="Z33" s="4">
        <f>HUNGARY2009ttl!Z29/HUNGARY2009ttl!$BE$26</f>
        <v>3.6315385152594449E-4</v>
      </c>
      <c r="AA33" s="4">
        <f>HUNGARY2009ttl!AA29/HUNGARY2009ttl!$BE$27</f>
        <v>5.8903906491050207E-4</v>
      </c>
      <c r="AB33" s="4">
        <f>HUNGARY2009ttl!AB29/HUNGARY2009ttl!$BE$28</f>
        <v>5.7263565102310895E-4</v>
      </c>
      <c r="AC33" s="4">
        <f>HUNGARY2009ttl!AC29/HUNGARY2009ttl!$BE$29</f>
        <v>3.4266133637921182E-3</v>
      </c>
      <c r="AD33" s="4">
        <f>HUNGARY2009ttl!AD29/HUNGARY2009ttl!$BE$30</f>
        <v>1.1196279390233398E-3</v>
      </c>
      <c r="AE33" s="4">
        <f>HUNGARY2009ttl!AE29/HUNGARY2009ttl!$BE$31</f>
        <v>1.0795334538030083E-3</v>
      </c>
      <c r="AF33" s="4">
        <f>HUNGARY2009ttl!AF29/HUNGARY2009ttl!$BE$32</f>
        <v>1.0093873019077422E-4</v>
      </c>
      <c r="AG33" s="4">
        <f>HUNGARY2009ttl!AG29/HUNGARY2009ttl!$BE$33</f>
        <v>2.0366221695580531E-4</v>
      </c>
      <c r="AH33" s="4">
        <f>HUNGARY2009ttl!AH29/HUNGARY2009ttl!$BE$34</f>
        <v>8.9341552756186902E-5</v>
      </c>
      <c r="AI33" s="4">
        <f>HUNGARY2009ttl!AI29/HUNGARY2009ttl!$BE$35</f>
        <v>6.9245683685716919E-5</v>
      </c>
      <c r="AJ33" s="4">
        <f>HUNGARY2009ttl!AJ29/HUNGARY2009ttl!$BE$36</f>
        <v>5.6492387650764042E-5</v>
      </c>
      <c r="AK33" s="4">
        <f>HUNGARY2009ttl!AK29/HUNGARY2009ttl!$BE$37</f>
        <v>3.8746173815335739E-5</v>
      </c>
      <c r="AL33" s="4">
        <f>HUNGARY2009ttl!AL29/HUNGARY2009ttl!$BE$38</f>
        <v>7.3344090466601774E-5</v>
      </c>
      <c r="AM33" s="4">
        <f>HUNGARY2009ttl!AM29/HUNGARY2009ttl!$BE$39</f>
        <v>9.4993825401348944E-5</v>
      </c>
      <c r="AN33" s="4">
        <f>HUNGARY2009ttl!AN29/HUNGARY2009ttl!$BE$40</f>
        <v>6.3316551873243373E-4</v>
      </c>
      <c r="AO33" s="4">
        <f>HUNGARY2009ttl!AO29/HUNGARY2009ttl!$BE$41</f>
        <v>6.5436936969688158E-5</v>
      </c>
      <c r="AP33" s="4">
        <f>HUNGARY2009ttl!AP29/HUNGARY2009ttl!$BE$42</f>
        <v>5.6577086280056583E-5</v>
      </c>
      <c r="AQ33" s="4">
        <f>HUNGARY2009ttl!AQ29/HUNGARY2009ttl!$BE$43</f>
        <v>1.4997750337449381E-4</v>
      </c>
      <c r="AR33" s="4">
        <f>HUNGARY2009ttl!AR29/HUNGARY2009ttl!$BE$44</f>
        <v>2.2312297794801231E-4</v>
      </c>
      <c r="AS33" s="4">
        <f>HUNGARY2009ttl!AS29/HUNGARY2009ttl!$BE$45</f>
        <v>1.1499540018399263E-4</v>
      </c>
      <c r="AT33" s="4">
        <f>HUNGARY2009ttl!AT29/HUNGARY2009ttl!$BE$46</f>
        <v>0</v>
      </c>
    </row>
    <row r="34" spans="1:46" x14ac:dyDescent="0.3">
      <c r="A34" s="14" t="s">
        <v>82</v>
      </c>
      <c r="B34" s="4">
        <f>HUNGARY2009ttl!B30/HUNGARY2009ttl!$BE$2</f>
        <v>6.6349453090936664E-4</v>
      </c>
      <c r="C34" s="4">
        <f>HUNGARY2009ttl!C30/HUNGARY2009ttl!$BE$3</f>
        <v>0</v>
      </c>
      <c r="D34" s="4">
        <f>HUNGARY2009ttl!D30/HUNGARY2009ttl!$BE$4</f>
        <v>9.398496240601577E-4</v>
      </c>
      <c r="E34" s="4">
        <f>HUNGARY2009ttl!E30/HUNGARY2009ttl!$BE$5</f>
        <v>9.2564023449552579E-4</v>
      </c>
      <c r="F34" s="4">
        <f>HUNGARY2009ttl!F30/HUNGARY2009ttl!$BE$6</f>
        <v>1.1691348402182386E-3</v>
      </c>
      <c r="G34" s="4">
        <f>HUNGARY2009ttl!G30/HUNGARY2009ttl!$BE$7</f>
        <v>9.4254535999544961E-4</v>
      </c>
      <c r="H34" s="4">
        <f>HUNGARY2009ttl!H30/HUNGARY2009ttl!$BE$8</f>
        <v>1.3052396046988627E-3</v>
      </c>
      <c r="I34" s="4">
        <f>HUNGARY2009ttl!I30/HUNGARY2009ttl!$BE$9</f>
        <v>1.0750586395621581E-3</v>
      </c>
      <c r="J34" s="4">
        <f>HUNGARY2009ttl!J30/HUNGARY2009ttl!$BE$10</f>
        <v>1.0276679841897235E-3</v>
      </c>
      <c r="K34" s="4">
        <f>HUNGARY2009ttl!K30/HUNGARY2009ttl!$BE$11</f>
        <v>1.8978150372961911E-3</v>
      </c>
      <c r="L34" s="4">
        <f>HUNGARY2009ttl!L30/HUNGARY2009ttl!$BE$12</f>
        <v>1.2572223411084962E-3</v>
      </c>
      <c r="M34" s="4">
        <f>HUNGARY2009ttl!M30/HUNGARY2009ttl!$BE$13</f>
        <v>1.2628920227320565E-3</v>
      </c>
      <c r="N34" s="4">
        <f>HUNGARY2009ttl!N30/HUNGARY2009ttl!$BE$14</f>
        <v>1.2922416735748766E-3</v>
      </c>
      <c r="O34" s="4">
        <f>HUNGARY2009ttl!O30/HUNGARY2009ttl!$BE$15</f>
        <v>1.1687528276278091E-3</v>
      </c>
      <c r="P34" s="4">
        <f>HUNGARY2009ttl!P30/HUNGARY2009ttl!$BE$16</f>
        <v>1.3926364348507264E-3</v>
      </c>
      <c r="Q34" s="4">
        <f>HUNGARY2009ttl!Q30/HUNGARY2009ttl!$BE$17</f>
        <v>1.1986594584016243E-3</v>
      </c>
      <c r="R34" s="4">
        <f>HUNGARY2009ttl!R30/HUNGARY2009ttl!$BE$18</f>
        <v>1.9956506400299083E-3</v>
      </c>
      <c r="S34" s="4">
        <f>HUNGARY2009ttl!S30/HUNGARY2009ttl!$BE$19</f>
        <v>1.8168164530897998E-3</v>
      </c>
      <c r="T34" s="4">
        <f>HUNGARY2009ttl!T30/HUNGARY2009ttl!$BE$20</f>
        <v>1.0104566958066042E-3</v>
      </c>
      <c r="U34" s="4">
        <f>HUNGARY2009ttl!U30/HUNGARY2009ttl!$BE$21</f>
        <v>1.034762790453986E-3</v>
      </c>
      <c r="V34" s="4">
        <f>HUNGARY2009ttl!V30/HUNGARY2009ttl!$BE$22</f>
        <v>1.6649323621227888E-3</v>
      </c>
      <c r="W34" s="4">
        <f>HUNGARY2009ttl!W30/HUNGARY2009ttl!$BE$23</f>
        <v>1.1194889862039443E-3</v>
      </c>
      <c r="X34" s="4">
        <f>HUNGARY2009ttl!X30/HUNGARY2009ttl!$BE$24</f>
        <v>9.5937419283421337E-4</v>
      </c>
      <c r="Y34" s="4">
        <f>HUNGARY2009ttl!Y30/HUNGARY2009ttl!$BE$25</f>
        <v>5.8683293599853304E-4</v>
      </c>
      <c r="Z34" s="4">
        <f>HUNGARY2009ttl!Z30/HUNGARY2009ttl!$BE$26</f>
        <v>1.0126405475242683E-3</v>
      </c>
      <c r="AA34" s="4">
        <f>HUNGARY2009ttl!AA30/HUNGARY2009ttl!$BE$27</f>
        <v>1.0458448703512997E-3</v>
      </c>
      <c r="AB34" s="4">
        <f>HUNGARY2009ttl!AB30/HUNGARY2009ttl!$BE$28</f>
        <v>1.4252265092130709E-3</v>
      </c>
      <c r="AC34" s="4">
        <f>HUNGARY2009ttl!AC30/HUNGARY2009ttl!$BE$29</f>
        <v>1.1422044545973729E-3</v>
      </c>
      <c r="AD34" s="4">
        <f>HUNGARY2009ttl!AD30/HUNGARY2009ttl!$BE$30</f>
        <v>1.3004909137886485E-2</v>
      </c>
      <c r="AE34" s="4">
        <f>HUNGARY2009ttl!AE30/HUNGARY2009ttl!$BE$31</f>
        <v>1.0795334538030083E-3</v>
      </c>
      <c r="AF34" s="4">
        <f>HUNGARY2009ttl!AF30/HUNGARY2009ttl!$BE$32</f>
        <v>2.5234682547693554E-3</v>
      </c>
      <c r="AG34" s="4">
        <f>HUNGARY2009ttl!AG30/HUNGARY2009ttl!$BE$33</f>
        <v>8.8870785580715027E-4</v>
      </c>
      <c r="AH34" s="4">
        <f>HUNGARY2009ttl!AH30/HUNGARY2009ttl!$BE$34</f>
        <v>5.9561035170791279E-4</v>
      </c>
      <c r="AI34" s="4">
        <f>HUNGARY2009ttl!AI30/HUNGARY2009ttl!$BE$35</f>
        <v>3.4622841842858455E-4</v>
      </c>
      <c r="AJ34" s="4">
        <f>HUNGARY2009ttl!AJ30/HUNGARY2009ttl!$BE$36</f>
        <v>1.1298477530152808E-3</v>
      </c>
      <c r="AK34" s="4">
        <f>HUNGARY2009ttl!AK30/HUNGARY2009ttl!$BE$37</f>
        <v>2.7122321670735011E-4</v>
      </c>
      <c r="AL34" s="4">
        <f>HUNGARY2009ttl!AL30/HUNGARY2009ttl!$BE$38</f>
        <v>4.267292536238649E-4</v>
      </c>
      <c r="AM34" s="4">
        <f>HUNGARY2009ttl!AM30/HUNGARY2009ttl!$BE$39</f>
        <v>1.5673981191222576E-3</v>
      </c>
      <c r="AN34" s="4">
        <f>HUNGARY2009ttl!AN30/HUNGARY2009ttl!$BE$40</f>
        <v>8.2311517435216374E-3</v>
      </c>
      <c r="AO34" s="4">
        <f>HUNGARY2009ttl!AO30/HUNGARY2009ttl!$BE$41</f>
        <v>6.7618168202011094E-4</v>
      </c>
      <c r="AP34" s="4">
        <f>HUNGARY2009ttl!AP30/HUNGARY2009ttl!$BE$42</f>
        <v>7.2135785007072133E-4</v>
      </c>
      <c r="AQ34" s="4">
        <f>HUNGARY2009ttl!AQ30/HUNGARY2009ttl!$BE$43</f>
        <v>5.1242313652952057E-4</v>
      </c>
      <c r="AR34" s="4">
        <f>HUNGARY2009ttl!AR30/HUNGARY2009ttl!$BE$44</f>
        <v>1.0040534007660555E-3</v>
      </c>
      <c r="AS34" s="4">
        <f>HUNGARY2009ttl!AS30/HUNGARY2009ttl!$BE$45</f>
        <v>8.0496780128794829E-4</v>
      </c>
      <c r="AT34" s="4">
        <f>HUNGARY2009ttl!AT30/HUNGARY2009ttl!$BE$46</f>
        <v>0</v>
      </c>
    </row>
    <row r="35" spans="1:46" x14ac:dyDescent="0.3">
      <c r="A35" s="14" t="s">
        <v>83</v>
      </c>
      <c r="B35" s="4">
        <f>HUNGARY2009ttl!B31/HUNGARY2009ttl!$BE$2</f>
        <v>6.132585164262289E-3</v>
      </c>
      <c r="C35" s="4">
        <f>HUNGARY2009ttl!C31/HUNGARY2009ttl!$BE$3</f>
        <v>8.4566596194503175E-3</v>
      </c>
      <c r="D35" s="4">
        <f>HUNGARY2009ttl!D31/HUNGARY2009ttl!$BE$4</f>
        <v>2.8195488721804727E-3</v>
      </c>
      <c r="E35" s="4">
        <f>HUNGARY2009ttl!E31/HUNGARY2009ttl!$BE$5</f>
        <v>1.1724776303609994E-2</v>
      </c>
      <c r="F35" s="4">
        <f>HUNGARY2009ttl!F31/HUNGARY2009ttl!$BE$6</f>
        <v>4.2868277474668757E-3</v>
      </c>
      <c r="G35" s="4">
        <f>HUNGARY2009ttl!G31/HUNGARY2009ttl!$BE$7</f>
        <v>1.1481177531668711E-2</v>
      </c>
      <c r="H35" s="4">
        <f>HUNGARY2009ttl!H31/HUNGARY2009ttl!$BE$8</f>
        <v>4.6615700167816528E-3</v>
      </c>
      <c r="I35" s="4">
        <f>HUNGARY2009ttl!I31/HUNGARY2009ttl!$BE$9</f>
        <v>6.7435496481626275E-3</v>
      </c>
      <c r="J35" s="4">
        <f>HUNGARY2009ttl!J31/HUNGARY2009ttl!$BE$10</f>
        <v>6.2055335968379454E-3</v>
      </c>
      <c r="K35" s="4">
        <f>HUNGARY2009ttl!K31/HUNGARY2009ttl!$BE$11</f>
        <v>1.1155851871410653E-2</v>
      </c>
      <c r="L35" s="4">
        <f>HUNGARY2009ttl!L31/HUNGARY2009ttl!$BE$12</f>
        <v>4.81489407233041E-3</v>
      </c>
      <c r="M35" s="4">
        <f>HUNGARY2009ttl!M31/HUNGARY2009ttl!$BE$13</f>
        <v>2.4055086147277268E-3</v>
      </c>
      <c r="N35" s="4">
        <f>HUNGARY2009ttl!N31/HUNGARY2009ttl!$BE$14</f>
        <v>6.6318817964597446E-3</v>
      </c>
      <c r="O35" s="4">
        <f>HUNGARY2009ttl!O31/HUNGARY2009ttl!$BE$15</f>
        <v>1.5118383350927465E-2</v>
      </c>
      <c r="P35" s="4">
        <f>HUNGARY2009ttl!P31/HUNGARY2009ttl!$BE$16</f>
        <v>4.4390286360866905E-3</v>
      </c>
      <c r="Q35" s="4">
        <f>HUNGARY2009ttl!Q31/HUNGARY2009ttl!$BE$17</f>
        <v>5.846522664448738E-3</v>
      </c>
      <c r="R35" s="4">
        <f>HUNGARY2009ttl!R31/HUNGARY2009ttl!$BE$18</f>
        <v>6.4345252826294138E-3</v>
      </c>
      <c r="S35" s="4">
        <f>HUNGARY2009ttl!S31/HUNGARY2009ttl!$BE$19</f>
        <v>4.0938930742956819E-3</v>
      </c>
      <c r="T35" s="4">
        <f>HUNGARY2009ttl!T31/HUNGARY2009ttl!$BE$20</f>
        <v>4.1183765329087354E-3</v>
      </c>
      <c r="U35" s="4">
        <f>HUNGARY2009ttl!U31/HUNGARY2009ttl!$BE$21</f>
        <v>3.8508893720692636E-3</v>
      </c>
      <c r="V35" s="4">
        <f>HUNGARY2009ttl!V31/HUNGARY2009ttl!$BE$22</f>
        <v>5.2029136316337149E-3</v>
      </c>
      <c r="W35" s="4">
        <f>HUNGARY2009ttl!W31/HUNGARY2009ttl!$BE$23</f>
        <v>5.465740344407494E-3</v>
      </c>
      <c r="X35" s="4">
        <f>HUNGARY2009ttl!X31/HUNGARY2009ttl!$BE$24</f>
        <v>1.2644059874789376E-2</v>
      </c>
      <c r="Y35" s="4">
        <f>HUNGARY2009ttl!Y31/HUNGARY2009ttl!$BE$25</f>
        <v>7.7388593434806544E-3</v>
      </c>
      <c r="Z35" s="4">
        <f>HUNGARY2009ttl!Z31/HUNGARY2009ttl!$BE$26</f>
        <v>1.1425378867239331E-2</v>
      </c>
      <c r="AA35" s="4">
        <f>HUNGARY2009ttl!AA31/HUNGARY2009ttl!$BE$27</f>
        <v>2.0039349412363409E-2</v>
      </c>
      <c r="AB35" s="4">
        <f>HUNGARY2009ttl!AB31/HUNGARY2009ttl!$BE$28</f>
        <v>0.12851216532627505</v>
      </c>
      <c r="AC35" s="4">
        <f>HUNGARY2009ttl!AC31/HUNGARY2009ttl!$BE$29</f>
        <v>0.14848657909765847</v>
      </c>
      <c r="AD35" s="4">
        <f>HUNGARY2009ttl!AD31/HUNGARY2009ttl!$BE$30</f>
        <v>0.3174575833261562</v>
      </c>
      <c r="AE35" s="4">
        <f>HUNGARY2009ttl!AE31/HUNGARY2009ttl!$BE$31</f>
        <v>3.970805660510196E-2</v>
      </c>
      <c r="AF35" s="4">
        <f>HUNGARY2009ttl!AF31/HUNGARY2009ttl!$BE$32</f>
        <v>1.1406076511557487E-2</v>
      </c>
      <c r="AG35" s="4">
        <f>HUNGARY2009ttl!AG31/HUNGARY2009ttl!$BE$33</f>
        <v>3.6103756642165484E-3</v>
      </c>
      <c r="AH35" s="4">
        <f>HUNGARY2009ttl!AH31/HUNGARY2009ttl!$BE$34</f>
        <v>3.5438815926620809E-3</v>
      </c>
      <c r="AI35" s="4">
        <f>HUNGARY2009ttl!AI31/HUNGARY2009ttl!$BE$35</f>
        <v>3.7854307081525243E-3</v>
      </c>
      <c r="AJ35" s="4">
        <f>HUNGARY2009ttl!AJ31/HUNGARY2009ttl!$BE$36</f>
        <v>2.3161878936813255E-3</v>
      </c>
      <c r="AK35" s="4">
        <f>HUNGARY2009ttl!AK31/HUNGARY2009ttl!$BE$37</f>
        <v>1.007400519198729E-3</v>
      </c>
      <c r="AL35" s="4">
        <f>HUNGARY2009ttl!AL31/HUNGARY2009ttl!$BE$38</f>
        <v>1.9402845750710106E-3</v>
      </c>
      <c r="AM35" s="4">
        <f>HUNGARY2009ttl!AM31/HUNGARY2009ttl!$BE$39</f>
        <v>3.2677875938064036E-3</v>
      </c>
      <c r="AN35" s="4">
        <f>HUNGARY2009ttl!AN31/HUNGARY2009ttl!$BE$40</f>
        <v>4.8954504741019877E-3</v>
      </c>
      <c r="AO35" s="4">
        <f>HUNGARY2009ttl!AO31/HUNGARY2009ttl!$BE$41</f>
        <v>1.2229436442557274E-2</v>
      </c>
      <c r="AP35" s="4">
        <f>HUNGARY2009ttl!AP31/HUNGARY2009ttl!$BE$42</f>
        <v>1.3154172560113156E-3</v>
      </c>
      <c r="AQ35" s="4">
        <f>HUNGARY2009ttl!AQ31/HUNGARY2009ttl!$BE$43</f>
        <v>1.7497375393690947E-3</v>
      </c>
      <c r="AR35" s="4">
        <f>HUNGARY2009ttl!AR31/HUNGARY2009ttl!$BE$44</f>
        <v>4.6483953739169231E-3</v>
      </c>
      <c r="AS35" s="4">
        <f>HUNGARY2009ttl!AS31/HUNGARY2009ttl!$BE$45</f>
        <v>7.4172033118675247E-3</v>
      </c>
      <c r="AT35" s="4">
        <f>HUNGARY2009ttl!AT31/HUNGARY2009ttl!$BE$46</f>
        <v>0</v>
      </c>
    </row>
    <row r="36" spans="1:46" x14ac:dyDescent="0.3">
      <c r="A36" s="14" t="s">
        <v>84</v>
      </c>
      <c r="B36" s="4">
        <f>HUNGARY2009ttl!B32/HUNGARY2009ttl!$BE$2</f>
        <v>1.4217739948057856E-3</v>
      </c>
      <c r="C36" s="4">
        <f>HUNGARY2009ttl!C32/HUNGARY2009ttl!$BE$3</f>
        <v>2.1141649048625794E-3</v>
      </c>
      <c r="D36" s="4">
        <f>HUNGARY2009ttl!D32/HUNGARY2009ttl!$BE$4</f>
        <v>9.398496240601577E-4</v>
      </c>
      <c r="E36" s="4">
        <f>HUNGARY2009ttl!E32/HUNGARY2009ttl!$BE$5</f>
        <v>1.5427337241592097E-3</v>
      </c>
      <c r="F36" s="4">
        <f>HUNGARY2009ttl!F32/HUNGARY2009ttl!$BE$6</f>
        <v>7.7942322681215912E-4</v>
      </c>
      <c r="G36" s="4">
        <f>HUNGARY2009ttl!G32/HUNGARY2009ttl!$BE$7</f>
        <v>1.2919371744765215E-3</v>
      </c>
      <c r="H36" s="4">
        <f>HUNGARY2009ttl!H32/HUNGARY2009ttl!$BE$8</f>
        <v>1.2430853378084406E-3</v>
      </c>
      <c r="I36" s="4">
        <f>HUNGARY2009ttl!I32/HUNGARY2009ttl!$BE$9</f>
        <v>1.1727912431587176E-3</v>
      </c>
      <c r="J36" s="4">
        <f>HUNGARY2009ttl!J32/HUNGARY2009ttl!$BE$10</f>
        <v>1.3043478260869566E-3</v>
      </c>
      <c r="K36" s="4">
        <f>HUNGARY2009ttl!K32/HUNGARY2009ttl!$BE$11</f>
        <v>6.1060135982573106E-4</v>
      </c>
      <c r="L36" s="4">
        <f>HUNGARY2009ttl!L32/HUNGARY2009ttl!$BE$12</f>
        <v>1.5247164562379634E-3</v>
      </c>
      <c r="M36" s="4">
        <f>HUNGARY2009ttl!M32/HUNGARY2009ttl!$BE$13</f>
        <v>2.0747511802026645E-3</v>
      </c>
      <c r="N36" s="4">
        <f>HUNGARY2009ttl!N32/HUNGARY2009ttl!$BE$14</f>
        <v>1.1215682449895155E-3</v>
      </c>
      <c r="O36" s="4">
        <f>HUNGARY2009ttl!O32/HUNGARY2009ttl!$BE$15</f>
        <v>1.3572613482129394E-3</v>
      </c>
      <c r="P36" s="4">
        <f>HUNGARY2009ttl!P32/HUNGARY2009ttl!$BE$16</f>
        <v>6.0927844024719275E-4</v>
      </c>
      <c r="Q36" s="4">
        <f>HUNGARY2009ttl!Q32/HUNGARY2009ttl!$BE$17</f>
        <v>1.0763472687688055E-3</v>
      </c>
      <c r="R36" s="4">
        <f>HUNGARY2009ttl!R32/HUNGARY2009ttl!$BE$18</f>
        <v>3.738553969449168E-4</v>
      </c>
      <c r="S36" s="4">
        <f>HUNGARY2009ttl!S32/HUNGARY2009ttl!$BE$19</f>
        <v>6.2982970373779725E-4</v>
      </c>
      <c r="T36" s="4">
        <f>HUNGARY2009ttl!T32/HUNGARY2009ttl!$BE$20</f>
        <v>8.5735719644196729E-4</v>
      </c>
      <c r="U36" s="4">
        <f>HUNGARY2009ttl!U32/HUNGARY2009ttl!$BE$21</f>
        <v>5.5667618473790377E-4</v>
      </c>
      <c r="V36" s="4">
        <f>HUNGARY2009ttl!V32/HUNGARY2009ttl!$BE$22</f>
        <v>8.3246618106139442E-4</v>
      </c>
      <c r="W36" s="4">
        <f>HUNGARY2009ttl!W32/HUNGARY2009ttl!$BE$23</f>
        <v>1.1853412795100589E-3</v>
      </c>
      <c r="X36" s="4">
        <f>HUNGARY2009ttl!X32/HUNGARY2009ttl!$BE$24</f>
        <v>2.5337318426134356E-3</v>
      </c>
      <c r="Y36" s="4">
        <f>HUNGARY2009ttl!Y32/HUNGARY2009ttl!$BE$25</f>
        <v>3.8144140839904647E-3</v>
      </c>
      <c r="Z36" s="4">
        <f>HUNGARY2009ttl!Z32/HUNGARY2009ttl!$BE$26</f>
        <v>1.6900621551784339E-3</v>
      </c>
      <c r="AA36" s="4">
        <f>HUNGARY2009ttl!AA32/HUNGARY2009ttl!$BE$27</f>
        <v>3.7466090183082956E-3</v>
      </c>
      <c r="AB36" s="4">
        <f>HUNGARY2009ttl!AB32/HUNGARY2009ttl!$BE$28</f>
        <v>2.1632902371984115E-3</v>
      </c>
      <c r="AC36" s="4">
        <f>HUNGARY2009ttl!AC32/HUNGARY2009ttl!$BE$29</f>
        <v>2.2844089091947459E-3</v>
      </c>
      <c r="AD36" s="4">
        <f>HUNGARY2009ttl!AD32/HUNGARY2009ttl!$BE$30</f>
        <v>3.1866333649125827E-3</v>
      </c>
      <c r="AE36" s="4">
        <f>HUNGARY2009ttl!AE32/HUNGARY2009ttl!$BE$31</f>
        <v>4.1069207481636196E-3</v>
      </c>
      <c r="AF36" s="4">
        <f>HUNGARY2009ttl!AF32/HUNGARY2009ttl!$BE$32</f>
        <v>6.3490461289996983E-2</v>
      </c>
      <c r="AG36" s="4">
        <f>HUNGARY2009ttl!AG32/HUNGARY2009ttl!$BE$33</f>
        <v>2.2773138805058228E-3</v>
      </c>
      <c r="AH36" s="4">
        <f>HUNGARY2009ttl!AH32/HUNGARY2009ttl!$BE$34</f>
        <v>1.2090890139670629E-2</v>
      </c>
      <c r="AI36" s="4">
        <f>HUNGARY2009ttl!AI32/HUNGARY2009ttl!$BE$35</f>
        <v>1.1102391284276612E-2</v>
      </c>
      <c r="AJ36" s="4">
        <f>HUNGARY2009ttl!AJ32/HUNGARY2009ttl!$BE$36</f>
        <v>1.7512640171736854E-3</v>
      </c>
      <c r="AK36" s="4">
        <f>HUNGARY2009ttl!AK32/HUNGARY2009ttl!$BE$37</f>
        <v>1.644775078461002E-2</v>
      </c>
      <c r="AL36" s="4">
        <f>HUNGARY2009ttl!AL32/HUNGARY2009ttl!$BE$38</f>
        <v>4.0272573310752248E-3</v>
      </c>
      <c r="AM36" s="4">
        <f>HUNGARY2009ttl!AM32/HUNGARY2009ttl!$BE$39</f>
        <v>3.4672746271492364E-3</v>
      </c>
      <c r="AN36" s="4">
        <f>HUNGARY2009ttl!AN32/HUNGARY2009ttl!$BE$40</f>
        <v>3.2893720851221559E-3</v>
      </c>
      <c r="AO36" s="4">
        <f>HUNGARY2009ttl!AO32/HUNGARY2009ttl!$BE$41</f>
        <v>1.3908984491445939E-2</v>
      </c>
      <c r="AP36" s="4">
        <f>HUNGARY2009ttl!AP32/HUNGARY2009ttl!$BE$42</f>
        <v>3.8613861386138613E-3</v>
      </c>
      <c r="AQ36" s="4">
        <f>HUNGARY2009ttl!AQ32/HUNGARY2009ttl!$BE$43</f>
        <v>4.499325101234815E-3</v>
      </c>
      <c r="AR36" s="4">
        <f>HUNGARY2009ttl!AR32/HUNGARY2009ttl!$BE$44</f>
        <v>9.4455393997991879E-3</v>
      </c>
      <c r="AS36" s="4">
        <f>HUNGARY2009ttl!AS32/HUNGARY2009ttl!$BE$45</f>
        <v>5.4047838086476539E-3</v>
      </c>
      <c r="AT36" s="4">
        <f>HUNGARY2009ttl!AT32/HUNGARY2009ttl!$BE$46</f>
        <v>0</v>
      </c>
    </row>
    <row r="37" spans="1:46" x14ac:dyDescent="0.3">
      <c r="A37" s="14" t="s">
        <v>85</v>
      </c>
      <c r="B37" s="4">
        <f>HUNGARY2009ttl!B33/HUNGARY2009ttl!$BE$2</f>
        <v>1.7061287937669426E-4</v>
      </c>
      <c r="C37" s="4">
        <f>HUNGARY2009ttl!C33/HUNGARY2009ttl!$BE$3</f>
        <v>0</v>
      </c>
      <c r="D37" s="4">
        <f>HUNGARY2009ttl!D33/HUNGARY2009ttl!$BE$4</f>
        <v>9.398496240601577E-4</v>
      </c>
      <c r="E37" s="4">
        <f>HUNGARY2009ttl!E33/HUNGARY2009ttl!$BE$5</f>
        <v>3.0854674483184197E-4</v>
      </c>
      <c r="F37" s="4">
        <f>HUNGARY2009ttl!F33/HUNGARY2009ttl!$BE$6</f>
        <v>7.7942322681215912E-4</v>
      </c>
      <c r="G37" s="4">
        <f>HUNGARY2009ttl!G33/HUNGARY2009ttl!$BE$7</f>
        <v>4.468965068943942E-4</v>
      </c>
      <c r="H37" s="4">
        <f>HUNGARY2009ttl!H33/HUNGARY2009ttl!$BE$8</f>
        <v>4.3507986823295423E-4</v>
      </c>
      <c r="I37" s="4">
        <f>HUNGARY2009ttl!I33/HUNGARY2009ttl!$BE$9</f>
        <v>4.8866301798279903E-4</v>
      </c>
      <c r="J37" s="4">
        <f>HUNGARY2009ttl!J33/HUNGARY2009ttl!$BE$10</f>
        <v>4.7430830039525701E-4</v>
      </c>
      <c r="K37" s="4">
        <f>HUNGARY2009ttl!K33/HUNGARY2009ttl!$BE$11</f>
        <v>1.3202191563799591E-4</v>
      </c>
      <c r="L37" s="4">
        <f>HUNGARY2009ttl!L33/HUNGARY2009ttl!$BE$12</f>
        <v>4.0124117269420089E-4</v>
      </c>
      <c r="M37" s="4">
        <f>HUNGARY2009ttl!M33/HUNGARY2009ttl!$BE$13</f>
        <v>8.4192801515470424E-4</v>
      </c>
      <c r="N37" s="4">
        <f>HUNGARY2009ttl!N33/HUNGARY2009ttl!$BE$14</f>
        <v>5.6078412249475776E-4</v>
      </c>
      <c r="O37" s="4">
        <f>HUNGARY2009ttl!O33/HUNGARY2009ttl!$BE$15</f>
        <v>4.1471874528728708E-4</v>
      </c>
      <c r="P37" s="4">
        <f>HUNGARY2009ttl!P33/HUNGARY2009ttl!$BE$16</f>
        <v>6.0927844024719275E-4</v>
      </c>
      <c r="Q37" s="4">
        <f>HUNGARY2009ttl!Q33/HUNGARY2009ttl!$BE$17</f>
        <v>6.1156094816409393E-4</v>
      </c>
      <c r="R37" s="4">
        <f>HUNGARY2009ttl!R33/HUNGARY2009ttl!$BE$18</f>
        <v>3.9491767282913751E-4</v>
      </c>
      <c r="S37" s="4">
        <f>HUNGARY2009ttl!S33/HUNGARY2009ttl!$BE$19</f>
        <v>4.6026016811608262E-4</v>
      </c>
      <c r="T37" s="4">
        <f>HUNGARY2009ttl!T33/HUNGARY2009ttl!$BE$20</f>
        <v>7.1956764701379405E-4</v>
      </c>
      <c r="U37" s="4">
        <f>HUNGARY2009ttl!U33/HUNGARY2009ttl!$BE$21</f>
        <v>3.7984963193880492E-4</v>
      </c>
      <c r="V37" s="4">
        <f>HUNGARY2009ttl!V33/HUNGARY2009ttl!$BE$22</f>
        <v>8.3246618106139442E-4</v>
      </c>
      <c r="W37" s="4">
        <f>HUNGARY2009ttl!W33/HUNGARY2009ttl!$BE$23</f>
        <v>5.9267063975502945E-4</v>
      </c>
      <c r="X37" s="4">
        <f>HUNGARY2009ttl!X33/HUNGARY2009ttl!$BE$24</f>
        <v>2.4599338277800343E-4</v>
      </c>
      <c r="Y37" s="4">
        <f>HUNGARY2009ttl!Y33/HUNGARY2009ttl!$BE$25</f>
        <v>2.5673940949935817E-4</v>
      </c>
      <c r="Z37" s="4">
        <f>HUNGARY2009ttl!Z33/HUNGARY2009ttl!$BE$26</f>
        <v>7.6821007053565183E-4</v>
      </c>
      <c r="AA37" s="4">
        <f>HUNGARY2009ttl!AA33/HUNGARY2009ttl!$BE$27</f>
        <v>1.5387142920111074E-3</v>
      </c>
      <c r="AB37" s="4">
        <f>HUNGARY2009ttl!AB33/HUNGARY2009ttl!$BE$28</f>
        <v>8.780413315687671E-4</v>
      </c>
      <c r="AC37" s="4">
        <f>HUNGARY2009ttl!AC33/HUNGARY2009ttl!$BE$29</f>
        <v>0</v>
      </c>
      <c r="AD37" s="4">
        <f>HUNGARY2009ttl!AD33/HUNGARY2009ttl!$BE$30</f>
        <v>1.7225045215743689E-3</v>
      </c>
      <c r="AE37" s="4">
        <f>HUNGARY2009ttl!AE33/HUNGARY2009ttl!$BE$31</f>
        <v>1.478491469338903E-3</v>
      </c>
      <c r="AF37" s="4">
        <f>HUNGARY2009ttl!AF33/HUNGARY2009ttl!$BE$32</f>
        <v>1.0093873019077421E-3</v>
      </c>
      <c r="AG37" s="4">
        <f>HUNGARY2009ttl!AG33/HUNGARY2009ttl!$BE$33</f>
        <v>3.0512303049378832E-2</v>
      </c>
      <c r="AH37" s="4">
        <f>HUNGARY2009ttl!AH33/HUNGARY2009ttl!$BE$34</f>
        <v>8.636350099764735E-4</v>
      </c>
      <c r="AI37" s="4">
        <f>HUNGARY2009ttl!AI33/HUNGARY2009ttl!$BE$35</f>
        <v>5.0780168036192413E-4</v>
      </c>
      <c r="AJ37" s="4">
        <f>HUNGARY2009ttl!AJ33/HUNGARY2009ttl!$BE$36</f>
        <v>2.5139112504590001E-3</v>
      </c>
      <c r="AK37" s="4">
        <f>HUNGARY2009ttl!AK33/HUNGARY2009ttl!$BE$37</f>
        <v>1.1526986710062382E-3</v>
      </c>
      <c r="AL37" s="4">
        <f>HUNGARY2009ttl!AL33/HUNGARY2009ttl!$BE$38</f>
        <v>3.4004987398151729E-4</v>
      </c>
      <c r="AM37" s="4">
        <f>HUNGARY2009ttl!AM33/HUNGARY2009ttl!$BE$39</f>
        <v>3.7807542509736879E-3</v>
      </c>
      <c r="AN37" s="4">
        <f>HUNGARY2009ttl!AN33/HUNGARY2009ttl!$BE$40</f>
        <v>3.1581060629459194E-2</v>
      </c>
      <c r="AO37" s="4">
        <f>HUNGARY2009ttl!AO33/HUNGARY2009ttl!$BE$41</f>
        <v>4.5587732755549412E-3</v>
      </c>
      <c r="AP37" s="4">
        <f>HUNGARY2009ttl!AP33/HUNGARY2009ttl!$BE$42</f>
        <v>2.9985855728429985E-3</v>
      </c>
      <c r="AQ37" s="4">
        <f>HUNGARY2009ttl!AQ33/HUNGARY2009ttl!$BE$43</f>
        <v>8.8236764485327204E-3</v>
      </c>
      <c r="AR37" s="4">
        <f>HUNGARY2009ttl!AR33/HUNGARY2009ttl!$BE$44</f>
        <v>4.1277750920382279E-3</v>
      </c>
      <c r="AS37" s="4">
        <f>HUNGARY2009ttl!AS33/HUNGARY2009ttl!$BE$45</f>
        <v>1.4518169273229069E-2</v>
      </c>
      <c r="AT37" s="4">
        <f>HUNGARY2009ttl!AT33/HUNGARY2009ttl!$BE$46</f>
        <v>0</v>
      </c>
    </row>
    <row r="38" spans="1:46" x14ac:dyDescent="0.3">
      <c r="A38" s="14" t="s">
        <v>86</v>
      </c>
      <c r="B38" s="4">
        <f>HUNGARY2009ttl!B34/HUNGARY2009ttl!$BE$2</f>
        <v>7.7723645049382936E-4</v>
      </c>
      <c r="C38" s="4">
        <f>HUNGARY2009ttl!C34/HUNGARY2009ttl!$BE$3</f>
        <v>2.1141649048625794E-3</v>
      </c>
      <c r="D38" s="4">
        <f>HUNGARY2009ttl!D34/HUNGARY2009ttl!$BE$4</f>
        <v>0</v>
      </c>
      <c r="E38" s="4">
        <f>HUNGARY2009ttl!E34/HUNGARY2009ttl!$BE$5</f>
        <v>9.2564023449552579E-4</v>
      </c>
      <c r="F38" s="4">
        <f>HUNGARY2009ttl!F34/HUNGARY2009ttl!$BE$6</f>
        <v>3.8971161340607956E-4</v>
      </c>
      <c r="G38" s="4">
        <f>HUNGARY2009ttl!G34/HUNGARY2009ttl!$BE$7</f>
        <v>7.1503441103103072E-3</v>
      </c>
      <c r="H38" s="4">
        <f>HUNGARY2009ttl!H34/HUNGARY2009ttl!$BE$8</f>
        <v>1.1809310709180185E-3</v>
      </c>
      <c r="I38" s="4">
        <f>HUNGARY2009ttl!I34/HUNGARY2009ttl!$BE$9</f>
        <v>1.8569194683346363E-3</v>
      </c>
      <c r="J38" s="4">
        <f>HUNGARY2009ttl!J34/HUNGARY2009ttl!$BE$10</f>
        <v>4.5454545454545461E-3</v>
      </c>
      <c r="K38" s="4">
        <f>HUNGARY2009ttl!K34/HUNGARY2009ttl!$BE$11</f>
        <v>7.0961779655422791E-4</v>
      </c>
      <c r="L38" s="4">
        <f>HUNGARY2009ttl!L34/HUNGARY2009ttl!$BE$12</f>
        <v>2.6481917397817257E-3</v>
      </c>
      <c r="M38" s="4">
        <f>HUNGARY2009ttl!M34/HUNGARY2009ttl!$BE$13</f>
        <v>1.1576510208377185E-2</v>
      </c>
      <c r="N38" s="4">
        <f>HUNGARY2009ttl!N34/HUNGARY2009ttl!$BE$14</f>
        <v>4.2180718778953522E-3</v>
      </c>
      <c r="O38" s="4">
        <f>HUNGARY2009ttl!O34/HUNGARY2009ttl!$BE$15</f>
        <v>1.6588749811491483E-3</v>
      </c>
      <c r="P38" s="4">
        <f>HUNGARY2009ttl!P34/HUNGARY2009ttl!$BE$16</f>
        <v>4.3519888589085203E-4</v>
      </c>
      <c r="Q38" s="4">
        <f>HUNGARY2009ttl!Q34/HUNGARY2009ttl!$BE$17</f>
        <v>1.4677462755938256E-3</v>
      </c>
      <c r="R38" s="4">
        <f>HUNGARY2009ttl!R34/HUNGARY2009ttl!$BE$18</f>
        <v>2.8276105374566247E-3</v>
      </c>
      <c r="S38" s="4">
        <f>HUNGARY2009ttl!S34/HUNGARY2009ttl!$BE$19</f>
        <v>1.9137133305879225E-3</v>
      </c>
      <c r="T38" s="4">
        <f>HUNGARY2009ttl!T34/HUNGARY2009ttl!$BE$20</f>
        <v>9.0328704625135844E-4</v>
      </c>
      <c r="U38" s="4">
        <f>HUNGARY2009ttl!U34/HUNGARY2009ttl!$BE$21</f>
        <v>1.3294737117858174E-3</v>
      </c>
      <c r="V38" s="4">
        <f>HUNGARY2009ttl!V34/HUNGARY2009ttl!$BE$22</f>
        <v>8.3246618106139442E-4</v>
      </c>
      <c r="W38" s="4">
        <f>HUNGARY2009ttl!W34/HUNGARY2009ttl!$BE$23</f>
        <v>1.9755687991834313E-3</v>
      </c>
      <c r="X38" s="4">
        <f>HUNGARY2009ttl!X34/HUNGARY2009ttl!$BE$24</f>
        <v>1.1192698916399155E-3</v>
      </c>
      <c r="Y38" s="4">
        <f>HUNGARY2009ttl!Y34/HUNGARY2009ttl!$BE$25</f>
        <v>2.2373005684944072E-3</v>
      </c>
      <c r="Z38" s="4">
        <f>HUNGARY2009ttl!Z34/HUNGARY2009ttl!$BE$26</f>
        <v>1.2361198407710033E-3</v>
      </c>
      <c r="AA38" s="4">
        <f>HUNGARY2009ttl!AA34/HUNGARY2009ttl!$BE$27</f>
        <v>9.4045896962241388E-3</v>
      </c>
      <c r="AB38" s="4">
        <f>HUNGARY2009ttl!AB34/HUNGARY2009ttl!$BE$28</f>
        <v>1.7560826631375342E-3</v>
      </c>
      <c r="AC38" s="4">
        <f>HUNGARY2009ttl!AC34/HUNGARY2009ttl!$BE$29</f>
        <v>1.1422044545973729E-3</v>
      </c>
      <c r="AD38" s="4">
        <f>HUNGARY2009ttl!AD34/HUNGARY2009ttl!$BE$30</f>
        <v>2.153130651967961E-3</v>
      </c>
      <c r="AE38" s="4">
        <f>HUNGARY2009ttl!AE34/HUNGARY2009ttl!$BE$31</f>
        <v>1.9713219591185375E-3</v>
      </c>
      <c r="AF38" s="4">
        <f>HUNGARY2009ttl!AF34/HUNGARY2009ttl!$BE$32</f>
        <v>5.4506914303018078E-3</v>
      </c>
      <c r="AG38" s="4">
        <f>HUNGARY2009ttl!AG34/HUNGARY2009ttl!$BE$33</f>
        <v>5.684027327766566E-3</v>
      </c>
      <c r="AH38" s="4">
        <f>HUNGARY2009ttl!AH34/HUNGARY2009ttl!$BE$34</f>
        <v>0.20486018046993659</v>
      </c>
      <c r="AI38" s="4">
        <f>HUNGARY2009ttl!AI34/HUNGARY2009ttl!$BE$35</f>
        <v>2.4120579817191391E-2</v>
      </c>
      <c r="AJ38" s="4">
        <f>HUNGARY2009ttl!AJ34/HUNGARY2009ttl!$BE$36</f>
        <v>3.7284975849504265E-3</v>
      </c>
      <c r="AK38" s="4">
        <f>HUNGARY2009ttl!AK34/HUNGARY2009ttl!$BE$37</f>
        <v>2.8962764926963461E-3</v>
      </c>
      <c r="AL38" s="4">
        <f>HUNGARY2009ttl!AL34/HUNGARY2009ttl!$BE$38</f>
        <v>3.4405046073424103E-3</v>
      </c>
      <c r="AM38" s="4">
        <f>HUNGARY2009ttl!AM34/HUNGARY2009ttl!$BE$39</f>
        <v>1.2501187422817521E-2</v>
      </c>
      <c r="AN38" s="4">
        <f>HUNGARY2009ttl!AN34/HUNGARY2009ttl!$BE$40</f>
        <v>1.4377490193655994E-2</v>
      </c>
      <c r="AO38" s="4">
        <f>HUNGARY2009ttl!AO34/HUNGARY2009ttl!$BE$41</f>
        <v>2.1885020030973485E-3</v>
      </c>
      <c r="AP38" s="4">
        <f>HUNGARY2009ttl!AP34/HUNGARY2009ttl!$BE$42</f>
        <v>1.4073550212164073E-2</v>
      </c>
      <c r="AQ38" s="4">
        <f>HUNGARY2009ttl!AQ34/HUNGARY2009ttl!$BE$43</f>
        <v>1.3747937809328601E-3</v>
      </c>
      <c r="AR38" s="4">
        <f>HUNGARY2009ttl!AR34/HUNGARY2009ttl!$BE$44</f>
        <v>3.8525900859023458E-2</v>
      </c>
      <c r="AS38" s="4">
        <f>HUNGARY2009ttl!AS34/HUNGARY2009ttl!$BE$45</f>
        <v>2.6678932842686288E-2</v>
      </c>
      <c r="AT38" s="4">
        <f>HUNGARY2009ttl!AT34/HUNGARY2009ttl!$BE$46</f>
        <v>0</v>
      </c>
    </row>
    <row r="39" spans="1:46" x14ac:dyDescent="0.3">
      <c r="A39" s="14" t="s">
        <v>87</v>
      </c>
      <c r="B39" s="4">
        <f>HUNGARY2009ttl!B35/HUNGARY2009ttl!$BE$2</f>
        <v>1.7061287937669427E-3</v>
      </c>
      <c r="C39" s="4">
        <f>HUNGARY2009ttl!C35/HUNGARY2009ttl!$BE$3</f>
        <v>1.0570824524312895E-2</v>
      </c>
      <c r="D39" s="4">
        <f>HUNGARY2009ttl!D35/HUNGARY2009ttl!$BE$4</f>
        <v>1.8796992481203154E-3</v>
      </c>
      <c r="E39" s="4">
        <f>HUNGARY2009ttl!E35/HUNGARY2009ttl!$BE$5</f>
        <v>2.7769207034865776E-3</v>
      </c>
      <c r="F39" s="4">
        <f>HUNGARY2009ttl!F35/HUNGARY2009ttl!$BE$6</f>
        <v>2.3382696804364772E-3</v>
      </c>
      <c r="G39" s="4">
        <f>HUNGARY2009ttl!G35/HUNGARY2009ttl!$BE$7</f>
        <v>3.2826579779151864E-3</v>
      </c>
      <c r="H39" s="4">
        <f>HUNGARY2009ttl!H35/HUNGARY2009ttl!$BE$8</f>
        <v>2.9212505438498356E-3</v>
      </c>
      <c r="I39" s="4">
        <f>HUNGARY2009ttl!I35/HUNGARY2009ttl!$BE$9</f>
        <v>4.4956997654417505E-3</v>
      </c>
      <c r="J39" s="4">
        <f>HUNGARY2009ttl!J35/HUNGARY2009ttl!$BE$10</f>
        <v>3.9920948616600799E-3</v>
      </c>
      <c r="K39" s="4">
        <f>HUNGARY2009ttl!K35/HUNGARY2009ttl!$BE$11</f>
        <v>2.2278698263911807E-3</v>
      </c>
      <c r="L39" s="4">
        <f>HUNGARY2009ttl!L35/HUNGARY2009ttl!$BE$12</f>
        <v>2.353948213139312E-3</v>
      </c>
      <c r="M39" s="4">
        <f>HUNGARY2009ttl!M35/HUNGARY2009ttl!$BE$13</f>
        <v>2.4355774724118232E-3</v>
      </c>
      <c r="N39" s="4">
        <f>HUNGARY2009ttl!N35/HUNGARY2009ttl!$BE$14</f>
        <v>3.3159408982298723E-3</v>
      </c>
      <c r="O39" s="4">
        <f>HUNGARY2009ttl!O35/HUNGARY2009ttl!$BE$15</f>
        <v>3.8078721158196355E-3</v>
      </c>
      <c r="P39" s="4">
        <f>HUNGARY2009ttl!P35/HUNGARY2009ttl!$BE$16</f>
        <v>1.8713552093306636E-3</v>
      </c>
      <c r="Q39" s="4">
        <f>HUNGARY2009ttl!Q35/HUNGARY2009ttl!$BE$17</f>
        <v>3.326891558012671E-3</v>
      </c>
      <c r="R39" s="4">
        <f>HUNGARY2009ttl!R35/HUNGARY2009ttl!$BE$18</f>
        <v>2.0009162090009634E-3</v>
      </c>
      <c r="S39" s="4">
        <f>HUNGARY2009ttl!S35/HUNGARY2009ttl!$BE$19</f>
        <v>2.4708703762021276E-3</v>
      </c>
      <c r="T39" s="4">
        <f>HUNGARY2009ttl!T35/HUNGARY2009ttl!$BE$20</f>
        <v>3.5978382350689698E-3</v>
      </c>
      <c r="U39" s="4">
        <f>HUNGARY2009ttl!U35/HUNGARY2009ttl!$BE$21</f>
        <v>1.4277106855630946E-3</v>
      </c>
      <c r="V39" s="4">
        <f>HUNGARY2009ttl!V35/HUNGARY2009ttl!$BE$22</f>
        <v>3.5379812695109261E-3</v>
      </c>
      <c r="W39" s="4">
        <f>HUNGARY2009ttl!W35/HUNGARY2009ttl!$BE$23</f>
        <v>3.9182114517138057E-3</v>
      </c>
      <c r="X39" s="4">
        <f>HUNGARY2009ttl!X35/HUNGARY2009ttl!$BE$24</f>
        <v>2.300038128974332E-3</v>
      </c>
      <c r="Y39" s="4">
        <f>HUNGARY2009ttl!Y35/HUNGARY2009ttl!$BE$25</f>
        <v>7.555474050981113E-3</v>
      </c>
      <c r="Z39" s="4">
        <f>HUNGARY2009ttl!Z35/HUNGARY2009ttl!$BE$26</f>
        <v>6.4040784971017527E-3</v>
      </c>
      <c r="AA39" s="4">
        <f>HUNGARY2009ttl!AA35/HUNGARY2009ttl!$BE$27</f>
        <v>1.0698872811639731E-2</v>
      </c>
      <c r="AB39" s="4">
        <f>HUNGARY2009ttl!AB35/HUNGARY2009ttl!$BE$28</f>
        <v>9.5312022803624129E-3</v>
      </c>
      <c r="AC39" s="4">
        <f>HUNGARY2009ttl!AC35/HUNGARY2009ttl!$BE$29</f>
        <v>6.2821245002855509E-3</v>
      </c>
      <c r="AD39" s="4">
        <f>HUNGARY2009ttl!AD35/HUNGARY2009ttl!$BE$30</f>
        <v>3.6172594953061748E-3</v>
      </c>
      <c r="AE39" s="4">
        <f>HUNGARY2009ttl!AE35/HUNGARY2009ttl!$BE$31</f>
        <v>7.3220529910117101E-3</v>
      </c>
      <c r="AF39" s="4">
        <f>HUNGARY2009ttl!AF35/HUNGARY2009ttl!$BE$32</f>
        <v>1.0194811749268196E-2</v>
      </c>
      <c r="AG39" s="4">
        <f>HUNGARY2009ttl!AG35/HUNGARY2009ttl!$BE$33</f>
        <v>5.3507618818388839E-3</v>
      </c>
      <c r="AH39" s="4">
        <f>HUNGARY2009ttl!AH35/HUNGARY2009ttl!$BE$34</f>
        <v>2.4807171148634566E-2</v>
      </c>
      <c r="AI39" s="4">
        <f>HUNGARY2009ttl!AI35/HUNGARY2009ttl!$BE$35</f>
        <v>3.5869264149201364E-2</v>
      </c>
      <c r="AJ39" s="4">
        <f>HUNGARY2009ttl!AJ35/HUNGARY2009ttl!$BE$36</f>
        <v>1.7569132559387617E-2</v>
      </c>
      <c r="AK39" s="4">
        <f>HUNGARY2009ttl!AK35/HUNGARY2009ttl!$BE$37</f>
        <v>1.0568018908132821E-2</v>
      </c>
      <c r="AL39" s="4">
        <f>HUNGARY2009ttl!AL35/HUNGARY2009ttl!$BE$38</f>
        <v>3.8072250596754191E-3</v>
      </c>
      <c r="AM39" s="4">
        <f>HUNGARY2009ttl!AM35/HUNGARY2009ttl!$BE$39</f>
        <v>1.2463189892656981E-2</v>
      </c>
      <c r="AN39" s="4">
        <f>HUNGARY2009ttl!AN35/HUNGARY2009ttl!$BE$40</f>
        <v>1.0655712388423885E-2</v>
      </c>
      <c r="AO39" s="4">
        <f>HUNGARY2009ttl!AO35/HUNGARY2009ttl!$BE$41</f>
        <v>1.0884343849291461E-2</v>
      </c>
      <c r="AP39" s="4">
        <f>HUNGARY2009ttl!AP35/HUNGARY2009ttl!$BE$42</f>
        <v>9.3352192362093356E-3</v>
      </c>
      <c r="AQ39" s="4">
        <f>HUNGARY2009ttl!AQ35/HUNGARY2009ttl!$BE$43</f>
        <v>9.4360845873119031E-3</v>
      </c>
      <c r="AR39" s="4">
        <f>HUNGARY2009ttl!AR35/HUNGARY2009ttl!$BE$44</f>
        <v>2.7109441820683498E-2</v>
      </c>
      <c r="AS39" s="4">
        <f>HUNGARY2009ttl!AS35/HUNGARY2009ttl!$BE$45</f>
        <v>1.9204231830726767E-2</v>
      </c>
      <c r="AT39" s="4">
        <f>HUNGARY2009ttl!AT35/HUNGARY2009ttl!$BE$46</f>
        <v>0</v>
      </c>
    </row>
    <row r="40" spans="1:46" x14ac:dyDescent="0.3">
      <c r="A40" s="14" t="s">
        <v>88</v>
      </c>
      <c r="B40" s="4">
        <f>HUNGARY2009ttl!B36/HUNGARY2009ttl!$BE$2</f>
        <v>1.4502094747019013E-3</v>
      </c>
      <c r="C40" s="4">
        <f>HUNGARY2009ttl!C36/HUNGARY2009ttl!$BE$3</f>
        <v>4.2283298097251587E-3</v>
      </c>
      <c r="D40" s="4">
        <f>HUNGARY2009ttl!D36/HUNGARY2009ttl!$BE$4</f>
        <v>9.398496240601577E-4</v>
      </c>
      <c r="E40" s="4">
        <f>HUNGARY2009ttl!E36/HUNGARY2009ttl!$BE$5</f>
        <v>3.7025609379821032E-3</v>
      </c>
      <c r="F40" s="4">
        <f>HUNGARY2009ttl!F36/HUNGARY2009ttl!$BE$6</f>
        <v>1.6367887763055342E-2</v>
      </c>
      <c r="G40" s="4">
        <f>HUNGARY2009ttl!G36/HUNGARY2009ttl!$BE$7</f>
        <v>8.5641621503034816E-3</v>
      </c>
      <c r="H40" s="4">
        <f>HUNGARY2009ttl!H36/HUNGARY2009ttl!$BE$8</f>
        <v>2.2375536080551932E-3</v>
      </c>
      <c r="I40" s="4">
        <f>HUNGARY2009ttl!I36/HUNGARY2009ttl!$BE$9</f>
        <v>2.4433150899139952E-3</v>
      </c>
      <c r="J40" s="4">
        <f>HUNGARY2009ttl!J36/HUNGARY2009ttl!$BE$10</f>
        <v>4.6640316205533612E-3</v>
      </c>
      <c r="K40" s="4">
        <f>HUNGARY2009ttl!K36/HUNGARY2009ttl!$BE$11</f>
        <v>1.1551917618324642E-3</v>
      </c>
      <c r="L40" s="4">
        <f>HUNGARY2009ttl!L36/HUNGARY2009ttl!$BE$12</f>
        <v>3.6111705542478077E-3</v>
      </c>
      <c r="M40" s="4">
        <f>HUNGARY2009ttl!M36/HUNGARY2009ttl!$BE$13</f>
        <v>3.8488137835643627E-3</v>
      </c>
      <c r="N40" s="4">
        <f>HUNGARY2009ttl!N36/HUNGARY2009ttl!$BE$14</f>
        <v>4.1693080411566779E-3</v>
      </c>
      <c r="O40" s="4">
        <f>HUNGARY2009ttl!O36/HUNGARY2009ttl!$BE$15</f>
        <v>5.1274317599155489E-3</v>
      </c>
      <c r="P40" s="4">
        <f>HUNGARY2009ttl!P36/HUNGARY2009ttl!$BE$16</f>
        <v>6.3974236225955239E-3</v>
      </c>
      <c r="Q40" s="4">
        <f>HUNGARY2009ttl!Q36/HUNGARY2009ttl!$BE$17</f>
        <v>3.7182905648376909E-3</v>
      </c>
      <c r="R40" s="4">
        <f>HUNGARY2009ttl!R36/HUNGARY2009ttl!$BE$18</f>
        <v>1.9919647417501695E-2</v>
      </c>
      <c r="S40" s="4">
        <f>HUNGARY2009ttl!S36/HUNGARY2009ttl!$BE$19</f>
        <v>8.3331314648385484E-3</v>
      </c>
      <c r="T40" s="4">
        <f>HUNGARY2009ttl!T36/HUNGARY2009ttl!$BE$20</f>
        <v>3.7815576343065344E-3</v>
      </c>
      <c r="U40" s="4">
        <f>HUNGARY2009ttl!U36/HUNGARY2009ttl!$BE$21</f>
        <v>3.0191496607549842E-3</v>
      </c>
      <c r="V40" s="4">
        <f>HUNGARY2009ttl!V36/HUNGARY2009ttl!$BE$22</f>
        <v>4.5785639958376692E-3</v>
      </c>
      <c r="W40" s="4">
        <f>HUNGARY2009ttl!W36/HUNGARY2009ttl!$BE$23</f>
        <v>4.346251358203549E-3</v>
      </c>
      <c r="X40" s="4">
        <f>HUNGARY2009ttl!X36/HUNGARY2009ttl!$BE$24</f>
        <v>1.4882599658069208E-2</v>
      </c>
      <c r="Y40" s="4">
        <f>HUNGARY2009ttl!Y36/HUNGARY2009ttl!$BE$25</f>
        <v>1.437740693196406E-2</v>
      </c>
      <c r="Z40" s="4">
        <f>HUNGARY2009ttl!Z36/HUNGARY2009ttl!$BE$26</f>
        <v>6.8999231789929451E-3</v>
      </c>
      <c r="AA40" s="4">
        <f>HUNGARY2009ttl!AA36/HUNGARY2009ttl!$BE$27</f>
        <v>1.9282013471764191E-2</v>
      </c>
      <c r="AB40" s="4">
        <f>HUNGARY2009ttl!AB36/HUNGARY2009ttl!$BE$28</f>
        <v>1.1859920594523057E-2</v>
      </c>
      <c r="AC40" s="4">
        <f>HUNGARY2009ttl!AC36/HUNGARY2009ttl!$BE$29</f>
        <v>3.4266133637921182E-3</v>
      </c>
      <c r="AD40" s="4">
        <f>HUNGARY2009ttl!AD36/HUNGARY2009ttl!$BE$30</f>
        <v>2.1875807423994482E-2</v>
      </c>
      <c r="AE40" s="4">
        <f>HUNGARY2009ttl!AE36/HUNGARY2009ttl!$BE$31</f>
        <v>1.6357278636971673E-2</v>
      </c>
      <c r="AF40" s="4">
        <f>HUNGARY2009ttl!AF36/HUNGARY2009ttl!$BE$32</f>
        <v>2.2913091753305748E-2</v>
      </c>
      <c r="AG40" s="4">
        <f>HUNGARY2009ttl!AG36/HUNGARY2009ttl!$BE$33</f>
        <v>4.6286867489955747E-3</v>
      </c>
      <c r="AH40" s="4">
        <f>HUNGARY2009ttl!AH36/HUNGARY2009ttl!$BE$34</f>
        <v>4.9197415051073591E-2</v>
      </c>
      <c r="AI40" s="4">
        <f>HUNGARY2009ttl!AI36/HUNGARY2009ttl!$BE$35</f>
        <v>4.466346597728741E-2</v>
      </c>
      <c r="AJ40" s="4">
        <f>HUNGARY2009ttl!AJ36/HUNGARY2009ttl!$BE$36</f>
        <v>0.11419936163601951</v>
      </c>
      <c r="AK40" s="4">
        <f>HUNGARY2009ttl!AK36/HUNGARY2009ttl!$BE$37</f>
        <v>4.4141578519121233E-2</v>
      </c>
      <c r="AL40" s="4">
        <f>HUNGARY2009ttl!AL36/HUNGARY2009ttl!$BE$38</f>
        <v>6.2142447558975319E-3</v>
      </c>
      <c r="AM40" s="4">
        <f>HUNGARY2009ttl!AM36/HUNGARY2009ttl!$BE$39</f>
        <v>1.713688610240335E-2</v>
      </c>
      <c r="AN40" s="4">
        <f>HUNGARY2009ttl!AN36/HUNGARY2009ttl!$BE$40</f>
        <v>1.127343484572382E-2</v>
      </c>
      <c r="AO40" s="4">
        <f>HUNGARY2009ttl!AO36/HUNGARY2009ttl!$BE$41</f>
        <v>1.77406806895599E-2</v>
      </c>
      <c r="AP40" s="4">
        <f>HUNGARY2009ttl!AP36/HUNGARY2009ttl!$BE$42</f>
        <v>7.8783592644978782E-3</v>
      </c>
      <c r="AQ40" s="4">
        <f>HUNGARY2009ttl!AQ36/HUNGARY2009ttl!$BE$43</f>
        <v>7.5613657951307308E-3</v>
      </c>
      <c r="AR40" s="4">
        <f>HUNGARY2009ttl!AR36/HUNGARY2009ttl!$BE$44</f>
        <v>1.3982373284742106E-2</v>
      </c>
      <c r="AS40" s="4">
        <f>HUNGARY2009ttl!AS36/HUNGARY2009ttl!$BE$45</f>
        <v>1.2591996320147191E-2</v>
      </c>
      <c r="AT40" s="4">
        <f>HUNGARY2009ttl!AT36/HUNGARY2009ttl!$BE$46</f>
        <v>0</v>
      </c>
    </row>
    <row r="41" spans="1:46" x14ac:dyDescent="0.3">
      <c r="A41" s="14" t="s">
        <v>89</v>
      </c>
      <c r="B41" s="4">
        <f>HUNGARY2009ttl!B37/HUNGARY2009ttl!$BE$2</f>
        <v>1.9829007980891353E-2</v>
      </c>
      <c r="C41" s="4">
        <f>HUNGARY2009ttl!C37/HUNGARY2009ttl!$BE$3</f>
        <v>2.5369978858350947E-2</v>
      </c>
      <c r="D41" s="4">
        <f>HUNGARY2009ttl!D37/HUNGARY2009ttl!$BE$4</f>
        <v>1.221804511278205E-2</v>
      </c>
      <c r="E41" s="4">
        <f>HUNGARY2009ttl!E37/HUNGARY2009ttl!$BE$5</f>
        <v>2.5300833076211039E-2</v>
      </c>
      <c r="F41" s="4">
        <f>HUNGARY2009ttl!F37/HUNGARY2009ttl!$BE$6</f>
        <v>2.650038971161341E-2</v>
      </c>
      <c r="G41" s="4">
        <f>HUNGARY2009ttl!G37/HUNGARY2009ttl!$BE$7</f>
        <v>1.0814895466844339E-2</v>
      </c>
      <c r="H41" s="4">
        <f>HUNGARY2009ttl!H37/HUNGARY2009ttl!$BE$8</f>
        <v>1.0193299770029212E-2</v>
      </c>
      <c r="I41" s="4">
        <f>HUNGARY2009ttl!I37/HUNGARY2009ttl!$BE$9</f>
        <v>1.5832681782642688E-2</v>
      </c>
      <c r="J41" s="4">
        <f>HUNGARY2009ttl!J37/HUNGARY2009ttl!$BE$10</f>
        <v>1.4782608695652176E-2</v>
      </c>
      <c r="K41" s="4">
        <f>HUNGARY2009ttl!K37/HUNGARY2009ttl!$BE$11</f>
        <v>1.0858802561225163E-2</v>
      </c>
      <c r="L41" s="4">
        <f>HUNGARY2009ttl!L37/HUNGARY2009ttl!$BE$12</f>
        <v>1.6129895142306873E-2</v>
      </c>
      <c r="M41" s="4">
        <f>HUNGARY2009ttl!M37/HUNGARY2009ttl!$BE$13</f>
        <v>1.734973088372373E-2</v>
      </c>
      <c r="N41" s="4">
        <f>HUNGARY2009ttl!N37/HUNGARY2009ttl!$BE$14</f>
        <v>1.4653532939971715E-2</v>
      </c>
      <c r="O41" s="4">
        <f>HUNGARY2009ttl!O37/HUNGARY2009ttl!$BE$15</f>
        <v>1.3723420298597497E-2</v>
      </c>
      <c r="P41" s="4">
        <f>HUNGARY2009ttl!P37/HUNGARY2009ttl!$BE$16</f>
        <v>1.0227173818435022E-2</v>
      </c>
      <c r="Q41" s="4">
        <f>HUNGARY2009ttl!Q37/HUNGARY2009ttl!$BE$17</f>
        <v>1.6316446097018027E-2</v>
      </c>
      <c r="R41" s="4">
        <f>HUNGARY2009ttl!R37/HUNGARY2009ttl!$BE$18</f>
        <v>5.497254005781594E-3</v>
      </c>
      <c r="S41" s="4">
        <f>HUNGARY2009ttl!S37/HUNGARY2009ttl!$BE$19</f>
        <v>9.689687749812265E-3</v>
      </c>
      <c r="T41" s="4">
        <f>HUNGARY2009ttl!T37/HUNGARY2009ttl!$BE$20</f>
        <v>8.6960515639113826E-3</v>
      </c>
      <c r="U41" s="4">
        <f>HUNGARY2009ttl!U37/HUNGARY2009ttl!$BE$21</f>
        <v>5.6191549000602524E-3</v>
      </c>
      <c r="V41" s="4">
        <f>HUNGARY2009ttl!V37/HUNGARY2009ttl!$BE$22</f>
        <v>1.1654526534859521E-2</v>
      </c>
      <c r="W41" s="4">
        <f>HUNGARY2009ttl!W37/HUNGARY2009ttl!$BE$23</f>
        <v>1.4520430673998221E-2</v>
      </c>
      <c r="X41" s="4">
        <f>HUNGARY2009ttl!X37/HUNGARY2009ttl!$BE$24</f>
        <v>1.6543054991820731E-2</v>
      </c>
      <c r="Y41" s="4">
        <f>HUNGARY2009ttl!Y37/HUNGARY2009ttl!$BE$25</f>
        <v>2.0429121584448932E-2</v>
      </c>
      <c r="Z41" s="4">
        <f>HUNGARY2009ttl!Z37/HUNGARY2009ttl!$BE$26</f>
        <v>2.9010405754591795E-2</v>
      </c>
      <c r="AA41" s="4">
        <f>HUNGARY2009ttl!AA37/HUNGARY2009ttl!$BE$27</f>
        <v>3.9413525458909512E-2</v>
      </c>
      <c r="AB41" s="4">
        <f>HUNGARY2009ttl!AB37/HUNGARY2009ttl!$BE$28</f>
        <v>2.5374121958668429E-2</v>
      </c>
      <c r="AC41" s="4">
        <f>HUNGARY2009ttl!AC37/HUNGARY2009ttl!$BE$29</f>
        <v>3.1410622501427753E-2</v>
      </c>
      <c r="AD41" s="4">
        <f>HUNGARY2009ttl!AD37/HUNGARY2009ttl!$BE$30</f>
        <v>3.1435707518732231E-2</v>
      </c>
      <c r="AE41" s="4">
        <f>HUNGARY2009ttl!AE37/HUNGARY2009ttl!$BE$31</f>
        <v>3.6704137429302293E-2</v>
      </c>
      <c r="AF41" s="4">
        <f>HUNGARY2009ttl!AF37/HUNGARY2009ttl!$BE$32</f>
        <v>1.3222973654991423E-2</v>
      </c>
      <c r="AG41" s="4">
        <f>HUNGARY2009ttl!AG37/HUNGARY2009ttl!$BE$33</f>
        <v>2.98087426635315E-2</v>
      </c>
      <c r="AH41" s="4">
        <f>HUNGARY2009ttl!AH37/HUNGARY2009ttl!$BE$34</f>
        <v>1.0601864260400847E-2</v>
      </c>
      <c r="AI41" s="4">
        <f>HUNGARY2009ttl!AI37/HUNGARY2009ttl!$BE$35</f>
        <v>1.3779891053457666E-2</v>
      </c>
      <c r="AJ41" s="4">
        <f>HUNGARY2009ttl!AJ37/HUNGARY2009ttl!$BE$36</f>
        <v>2.0760952461655786E-2</v>
      </c>
      <c r="AK41" s="4">
        <f>HUNGARY2009ttl!AK37/HUNGARY2009ttl!$BE$37</f>
        <v>0.19654965322174434</v>
      </c>
      <c r="AL41" s="4">
        <f>HUNGARY2009ttl!AL37/HUNGARY2009ttl!$BE$38</f>
        <v>9.7434290362586509E-2</v>
      </c>
      <c r="AM41" s="4">
        <f>HUNGARY2009ttl!AM37/HUNGARY2009ttl!$BE$39</f>
        <v>3.1338462999905017E-2</v>
      </c>
      <c r="AN41" s="4">
        <f>HUNGARY2009ttl!AN37/HUNGARY2009ttl!$BE$40</f>
        <v>3.0978781233591757E-2</v>
      </c>
      <c r="AO41" s="4">
        <f>HUNGARY2009ttl!AO37/HUNGARY2009ttl!$BE$41</f>
        <v>2.8974021536023031E-2</v>
      </c>
      <c r="AP41" s="4">
        <f>HUNGARY2009ttl!AP37/HUNGARY2009ttl!$BE$42</f>
        <v>5.8132956152758134E-3</v>
      </c>
      <c r="AQ41" s="4">
        <f>HUNGARY2009ttl!AQ37/HUNGARY2009ttl!$BE$43</f>
        <v>9.7735339699045153E-3</v>
      </c>
      <c r="AR41" s="4">
        <f>HUNGARY2009ttl!AR37/HUNGARY2009ttl!$BE$44</f>
        <v>1.4317057751664124E-2</v>
      </c>
      <c r="AS41" s="4">
        <f>HUNGARY2009ttl!AS37/HUNGARY2009ttl!$BE$45</f>
        <v>3.1422493100275985E-2</v>
      </c>
      <c r="AT41" s="4">
        <f>HUNGARY2009ttl!AT37/HUNGARY2009ttl!$BE$46</f>
        <v>0</v>
      </c>
    </row>
    <row r="42" spans="1:46" x14ac:dyDescent="0.3">
      <c r="A42" s="14" t="s">
        <v>90</v>
      </c>
      <c r="B42" s="4">
        <f>HUNGARY2009ttl!B38/HUNGARY2009ttl!$BE$2</f>
        <v>3.962010198858789E-3</v>
      </c>
      <c r="C42" s="4">
        <f>HUNGARY2009ttl!C38/HUNGARY2009ttl!$BE$3</f>
        <v>1.0570824524312895E-2</v>
      </c>
      <c r="D42" s="4">
        <f>HUNGARY2009ttl!D38/HUNGARY2009ttl!$BE$4</f>
        <v>1.5037593984962523E-2</v>
      </c>
      <c r="E42" s="4">
        <f>HUNGARY2009ttl!E38/HUNGARY2009ttl!$BE$5</f>
        <v>9.2564023449552592E-3</v>
      </c>
      <c r="F42" s="4">
        <f>HUNGARY2009ttl!F38/HUNGARY2009ttl!$BE$6</f>
        <v>2.3382696804364772E-3</v>
      </c>
      <c r="G42" s="4">
        <f>HUNGARY2009ttl!G38/HUNGARY2009ttl!$BE$7</f>
        <v>9.9617294082277683E-3</v>
      </c>
      <c r="H42" s="4">
        <f>HUNGARY2009ttl!H38/HUNGARY2009ttl!$BE$8</f>
        <v>6.650506557275157E-3</v>
      </c>
      <c r="I42" s="4">
        <f>HUNGARY2009ttl!I38/HUNGARY2009ttl!$BE$9</f>
        <v>1.0848318999218138E-2</v>
      </c>
      <c r="J42" s="4">
        <f>HUNGARY2009ttl!J38/HUNGARY2009ttl!$BE$10</f>
        <v>1.1739130434782611E-2</v>
      </c>
      <c r="K42" s="4">
        <f>HUNGARY2009ttl!K38/HUNGARY2009ttl!$BE$11</f>
        <v>2.9539903624001581E-3</v>
      </c>
      <c r="L42" s="4">
        <f>HUNGARY2009ttl!L38/HUNGARY2009ttl!$BE$12</f>
        <v>7.0885940509308821E-3</v>
      </c>
      <c r="M42" s="4">
        <f>HUNGARY2009ttl!M38/HUNGARY2009ttl!$BE$13</f>
        <v>5.8934961060829304E-3</v>
      </c>
      <c r="N42" s="4">
        <f>HUNGARY2009ttl!N38/HUNGARY2009ttl!$BE$14</f>
        <v>1.4043984980738283E-2</v>
      </c>
      <c r="O42" s="4">
        <f>HUNGARY2009ttl!O38/HUNGARY2009ttl!$BE$15</f>
        <v>8.9730055798522106E-3</v>
      </c>
      <c r="P42" s="4">
        <f>HUNGARY2009ttl!P38/HUNGARY2009ttl!$BE$16</f>
        <v>7.3113412829663143E-3</v>
      </c>
      <c r="Q42" s="4">
        <f>HUNGARY2009ttl!Q38/HUNGARY2009ttl!$BE$17</f>
        <v>1.007852442574427E-2</v>
      </c>
      <c r="R42" s="4">
        <f>HUNGARY2009ttl!R38/HUNGARY2009ttl!$BE$18</f>
        <v>6.0080141959739444E-3</v>
      </c>
      <c r="S42" s="4">
        <f>HUNGARY2009ttl!S38/HUNGARY2009ttl!$BE$19</f>
        <v>7.0250236186138928E-3</v>
      </c>
      <c r="T42" s="4">
        <f>HUNGARY2009ttl!T38/HUNGARY2009ttl!$BE$20</f>
        <v>9.3696893611157853E-3</v>
      </c>
      <c r="U42" s="4">
        <f>HUNGARY2009ttl!U38/HUNGARY2009ttl!$BE$21</f>
        <v>5.1279700311738664E-3</v>
      </c>
      <c r="V42" s="4">
        <f>HUNGARY2009ttl!V38/HUNGARY2009ttl!$BE$22</f>
        <v>1.5400624349635796E-2</v>
      </c>
      <c r="W42" s="4">
        <f>HUNGARY2009ttl!W38/HUNGARY2009ttl!$BE$23</f>
        <v>9.5156563827335262E-3</v>
      </c>
      <c r="X42" s="4">
        <f>HUNGARY2009ttl!X38/HUNGARY2009ttl!$BE$24</f>
        <v>1.7428631169821542E-2</v>
      </c>
      <c r="Y42" s="4">
        <f>HUNGARY2009ttl!Y38/HUNGARY2009ttl!$BE$25</f>
        <v>3.2935998532917662E-2</v>
      </c>
      <c r="Z42" s="4">
        <f>HUNGARY2009ttl!Z38/HUNGARY2009ttl!$BE$26</f>
        <v>1.8744325721069904E-2</v>
      </c>
      <c r="AA42" s="4">
        <f>HUNGARY2009ttl!AA38/HUNGARY2009ttl!$BE$27</f>
        <v>4.1970035141990471E-2</v>
      </c>
      <c r="AB42" s="4">
        <f>HUNGARY2009ttl!AB38/HUNGARY2009ttl!$BE$28</f>
        <v>1.7471749974549526E-2</v>
      </c>
      <c r="AC42" s="4">
        <f>HUNGARY2009ttl!AC38/HUNGARY2009ttl!$BE$29</f>
        <v>4.5688178183894909E-2</v>
      </c>
      <c r="AD42" s="4">
        <f>HUNGARY2009ttl!AD38/HUNGARY2009ttl!$BE$30</f>
        <v>2.0325553354577554E-2</v>
      </c>
      <c r="AE42" s="4">
        <f>HUNGARY2009ttl!AE38/HUNGARY2009ttl!$BE$31</f>
        <v>2.6190420314003423E-2</v>
      </c>
      <c r="AF42" s="4">
        <f>HUNGARY2009ttl!AF38/HUNGARY2009ttl!$BE$32</f>
        <v>6.863833652972647E-3</v>
      </c>
      <c r="AG42" s="4">
        <f>HUNGARY2009ttl!AG38/HUNGARY2009ttl!$BE$33</f>
        <v>3.3030308640832423E-2</v>
      </c>
      <c r="AH42" s="4">
        <f>HUNGARY2009ttl!AH38/HUNGARY2009ttl!$BE$34</f>
        <v>2.3347925786950181E-2</v>
      </c>
      <c r="AI42" s="4">
        <f>HUNGARY2009ttl!AI38/HUNGARY2009ttl!$BE$35</f>
        <v>2.3843597082448525E-2</v>
      </c>
      <c r="AJ42" s="4">
        <f>HUNGARY2009ttl!AJ38/HUNGARY2009ttl!$BE$36</f>
        <v>3.2511369093014705E-2</v>
      </c>
      <c r="AK42" s="4">
        <f>HUNGARY2009ttl!AK38/HUNGARY2009ttl!$BE$37</f>
        <v>1.9547444689836879E-2</v>
      </c>
      <c r="AL42" s="4">
        <f>HUNGARY2009ttl!AL38/HUNGARY2009ttl!$BE$38</f>
        <v>1.638907039699156E-2</v>
      </c>
      <c r="AM42" s="4">
        <f>HUNGARY2009ttl!AM38/HUNGARY2009ttl!$BE$39</f>
        <v>3.2012919160254595E-2</v>
      </c>
      <c r="AN42" s="4">
        <f>HUNGARY2009ttl!AN38/HUNGARY2009ttl!$BE$40</f>
        <v>2.6469407295302231E-2</v>
      </c>
      <c r="AO42" s="4">
        <f>HUNGARY2009ttl!AO38/HUNGARY2009ttl!$BE$41</f>
        <v>2.1434232242960077E-2</v>
      </c>
      <c r="AP42" s="4">
        <f>HUNGARY2009ttl!AP38/HUNGARY2009ttl!$BE$42</f>
        <v>2.0678925035360677E-2</v>
      </c>
      <c r="AQ42" s="4">
        <f>HUNGARY2009ttl!AQ38/HUNGARY2009ttl!$BE$43</f>
        <v>1.9334599810028493E-2</v>
      </c>
      <c r="AR42" s="4">
        <f>HUNGARY2009ttl!AR38/HUNGARY2009ttl!$BE$44</f>
        <v>5.2657022795730903E-2</v>
      </c>
      <c r="AS42" s="4">
        <f>HUNGARY2009ttl!AS38/HUNGARY2009ttl!$BE$45</f>
        <v>4.8815547378104875E-2</v>
      </c>
      <c r="AT42" s="4">
        <f>HUNGARY2009ttl!AT38/HUNGARY2009ttl!$BE$46</f>
        <v>0</v>
      </c>
    </row>
    <row r="43" spans="1:46" x14ac:dyDescent="0.3">
      <c r="A43" s="14" t="s">
        <v>91</v>
      </c>
      <c r="B43" s="4">
        <f>HUNGARY2009ttl!B39/HUNGARY2009ttl!$BE$2</f>
        <v>6.1515421508596992E-3</v>
      </c>
      <c r="C43" s="4">
        <f>HUNGARY2009ttl!C39/HUNGARY2009ttl!$BE$3</f>
        <v>2.3255813953488372E-2</v>
      </c>
      <c r="D43" s="4">
        <f>HUNGARY2009ttl!D39/HUNGARY2009ttl!$BE$4</f>
        <v>3.2894736842105518E-2</v>
      </c>
      <c r="E43" s="4">
        <f>HUNGARY2009ttl!E39/HUNGARY2009ttl!$BE$5</f>
        <v>0.10984264116013574</v>
      </c>
      <c r="F43" s="4">
        <f>HUNGARY2009ttl!F39/HUNGARY2009ttl!$BE$6</f>
        <v>0.14224473889321904</v>
      </c>
      <c r="G43" s="4">
        <f>HUNGARY2009ttl!G39/HUNGARY2009ttl!$BE$7</f>
        <v>3.0315833949508816E-2</v>
      </c>
      <c r="H43" s="4">
        <f>HUNGARY2009ttl!H39/HUNGARY2009ttl!$BE$8</f>
        <v>1.2741624712536516E-2</v>
      </c>
      <c r="I43" s="4">
        <f>HUNGARY2009ttl!I39/HUNGARY2009ttl!$BE$9</f>
        <v>1.4366692728694291E-2</v>
      </c>
      <c r="J43" s="4">
        <f>HUNGARY2009ttl!J39/HUNGARY2009ttl!$BE$10</f>
        <v>1.5731225296442688E-2</v>
      </c>
      <c r="K43" s="4">
        <f>HUNGARY2009ttl!K39/HUNGARY2009ttl!$BE$11</f>
        <v>1.2046999801967126E-2</v>
      </c>
      <c r="L43" s="4">
        <f>HUNGARY2009ttl!L39/HUNGARY2009ttl!$BE$12</f>
        <v>1.5300663385405528E-2</v>
      </c>
      <c r="M43" s="4">
        <f>HUNGARY2009ttl!M39/HUNGARY2009ttl!$BE$13</f>
        <v>4.4111014222569682E-2</v>
      </c>
      <c r="N43" s="4">
        <f>HUNGARY2009ttl!N39/HUNGARY2009ttl!$BE$14</f>
        <v>2.2187545716096938E-2</v>
      </c>
      <c r="O43" s="4">
        <f>HUNGARY2009ttl!O39/HUNGARY2009ttl!$BE$15</f>
        <v>2.7296033780726894E-2</v>
      </c>
      <c r="P43" s="4">
        <f>HUNGARY2009ttl!P39/HUNGARY2009ttl!$BE$16</f>
        <v>9.5308556010096582E-3</v>
      </c>
      <c r="Q43" s="4">
        <f>HUNGARY2009ttl!Q39/HUNGARY2009ttl!$BE$17</f>
        <v>1.8200053817363438E-2</v>
      </c>
      <c r="R43" s="4">
        <f>HUNGARY2009ttl!R39/HUNGARY2009ttl!$BE$18</f>
        <v>2.0114473469430735E-2</v>
      </c>
      <c r="S43" s="4">
        <f>HUNGARY2009ttl!S39/HUNGARY2009ttl!$BE$19</f>
        <v>2.1535331023957761E-2</v>
      </c>
      <c r="T43" s="4">
        <f>HUNGARY2009ttl!T39/HUNGARY2009ttl!$BE$20</f>
        <v>1.6657225530872507E-2</v>
      </c>
      <c r="U43" s="4">
        <f>HUNGARY2009ttl!U39/HUNGARY2009ttl!$BE$21</f>
        <v>3.793257014119928E-2</v>
      </c>
      <c r="V43" s="4">
        <f>HUNGARY2009ttl!V39/HUNGARY2009ttl!$BE$22</f>
        <v>2.9136316337148804E-2</v>
      </c>
      <c r="W43" s="4">
        <f>HUNGARY2009ttl!W39/HUNGARY2009ttl!$BE$23</f>
        <v>2.5748246682690722E-2</v>
      </c>
      <c r="X43" s="4">
        <f>HUNGARY2009ttl!X39/HUNGARY2009ttl!$BE$24</f>
        <v>5.4266140240827557E-2</v>
      </c>
      <c r="Y43" s="4">
        <f>HUNGARY2009ttl!Y39/HUNGARY2009ttl!$BE$25</f>
        <v>2.6774252704933069E-2</v>
      </c>
      <c r="Z43" s="4">
        <f>HUNGARY2009ttl!Z39/HUNGARY2009ttl!$BE$26</f>
        <v>4.1748725469655697E-2</v>
      </c>
      <c r="AA43" s="4">
        <f>HUNGARY2009ttl!AA39/HUNGARY2009ttl!$BE$27</f>
        <v>7.3742081030938572E-2</v>
      </c>
      <c r="AB43" s="4">
        <f>HUNGARY2009ttl!AB39/HUNGARY2009ttl!$BE$28</f>
        <v>1.3679629441107602E-2</v>
      </c>
      <c r="AC43" s="4">
        <f>HUNGARY2009ttl!AC39/HUNGARY2009ttl!$BE$29</f>
        <v>0.17075956596230724</v>
      </c>
      <c r="AD43" s="4">
        <f>HUNGARY2009ttl!AD39/HUNGARY2009ttl!$BE$30</f>
        <v>2.876582551029196E-2</v>
      </c>
      <c r="AE43" s="4">
        <f>HUNGARY2009ttl!AE39/HUNGARY2009ttl!$BE$31</f>
        <v>3.2033981835676233E-2</v>
      </c>
      <c r="AF43" s="4">
        <f>HUNGARY2009ttl!AF39/HUNGARY2009ttl!$BE$32</f>
        <v>1.0396689209649744E-2</v>
      </c>
      <c r="AG43" s="4">
        <f>HUNGARY2009ttl!AG39/HUNGARY2009ttl!$BE$33</f>
        <v>1.8088907815074707E-2</v>
      </c>
      <c r="AH43" s="4">
        <f>HUNGARY2009ttl!AH39/HUNGARY2009ttl!$BE$34</f>
        <v>3.2014056404300308E-2</v>
      </c>
      <c r="AI43" s="4">
        <f>HUNGARY2009ttl!AI39/HUNGARY2009ttl!$BE$35</f>
        <v>5.7243098513525985E-2</v>
      </c>
      <c r="AJ43" s="4">
        <f>HUNGARY2009ttl!AJ39/HUNGARY2009ttl!$BE$36</f>
        <v>5.4882354602717273E-2</v>
      </c>
      <c r="AK43" s="4">
        <f>HUNGARY2009ttl!AK39/HUNGARY2009ttl!$BE$37</f>
        <v>3.3573559610988415E-2</v>
      </c>
      <c r="AL43" s="4">
        <f>HUNGARY2009ttl!AL39/HUNGARY2009ttl!$BE$38</f>
        <v>3.8565656296256787E-2</v>
      </c>
      <c r="AM43" s="4">
        <f>HUNGARY2009ttl!AM39/HUNGARY2009ttl!$BE$39</f>
        <v>0.11402108862923914</v>
      </c>
      <c r="AN43" s="4">
        <f>HUNGARY2009ttl!AN39/HUNGARY2009ttl!$BE$40</f>
        <v>5.5178058498316723E-2</v>
      </c>
      <c r="AO43" s="4">
        <f>HUNGARY2009ttl!AO39/HUNGARY2009ttl!$BE$41</f>
        <v>1.3850818325250659E-2</v>
      </c>
      <c r="AP43" s="4">
        <f>HUNGARY2009ttl!AP39/HUNGARY2009ttl!$BE$42</f>
        <v>9.1089108910891101E-3</v>
      </c>
      <c r="AQ43" s="4">
        <f>HUNGARY2009ttl!AQ39/HUNGARY2009ttl!$BE$43</f>
        <v>1.3572964055391691E-2</v>
      </c>
      <c r="AR43" s="4">
        <f>HUNGARY2009ttl!AR39/HUNGARY2009ttl!$BE$44</f>
        <v>4.3323044884905723E-2</v>
      </c>
      <c r="AS43" s="4">
        <f>HUNGARY2009ttl!AS39/HUNGARY2009ttl!$BE$45</f>
        <v>2.6793928242870281E-2</v>
      </c>
      <c r="AT43" s="4">
        <f>HUNGARY2009ttl!AT39/HUNGARY2009ttl!$BE$46</f>
        <v>0</v>
      </c>
    </row>
    <row r="44" spans="1:46" x14ac:dyDescent="0.3">
      <c r="A44" s="14" t="s">
        <v>92</v>
      </c>
      <c r="B44" s="4">
        <f>HUNGARY2009ttl!B40/HUNGARY2009ttl!$BE$2</f>
        <v>3.2321662148584859E-3</v>
      </c>
      <c r="C44" s="4">
        <f>HUNGARY2009ttl!C40/HUNGARY2009ttl!$BE$3</f>
        <v>1.4799154334038053E-2</v>
      </c>
      <c r="D44" s="4">
        <f>HUNGARY2009ttl!D40/HUNGARY2009ttl!$BE$4</f>
        <v>1.6917293233082838E-2</v>
      </c>
      <c r="E44" s="4">
        <f>HUNGARY2009ttl!E40/HUNGARY2009ttl!$BE$5</f>
        <v>1.3576056772601047E-2</v>
      </c>
      <c r="F44" s="4">
        <f>HUNGARY2009ttl!F40/HUNGARY2009ttl!$BE$6</f>
        <v>2.5331254871395172E-2</v>
      </c>
      <c r="G44" s="4">
        <f>HUNGARY2009ttl!G40/HUNGARY2009ttl!$BE$7</f>
        <v>1.7664600108880237E-2</v>
      </c>
      <c r="H44" s="4">
        <f>HUNGARY2009ttl!H40/HUNGARY2009ttl!$BE$8</f>
        <v>1.317670458076947E-2</v>
      </c>
      <c r="I44" s="4">
        <f>HUNGARY2009ttl!I40/HUNGARY2009ttl!$BE$9</f>
        <v>1.3389366692728694E-2</v>
      </c>
      <c r="J44" s="4">
        <f>HUNGARY2009ttl!J40/HUNGARY2009ttl!$BE$10</f>
        <v>2.4584980237154157E-2</v>
      </c>
      <c r="K44" s="4">
        <f>HUNGARY2009ttl!K40/HUNGARY2009ttl!$BE$11</f>
        <v>4.3732259555086138E-3</v>
      </c>
      <c r="L44" s="4">
        <f>HUNGARY2009ttl!L40/HUNGARY2009ttl!$BE$12</f>
        <v>1.1903488123261292E-2</v>
      </c>
      <c r="M44" s="4">
        <f>HUNGARY2009ttl!M40/HUNGARY2009ttl!$BE$13</f>
        <v>4.2998466488258114E-2</v>
      </c>
      <c r="N44" s="4">
        <f>HUNGARY2009ttl!N40/HUNGARY2009ttl!$BE$14</f>
        <v>1.6433412980933339E-2</v>
      </c>
      <c r="O44" s="4">
        <f>HUNGARY2009ttl!O40/HUNGARY2009ttl!$BE$15</f>
        <v>2.2847232694917813E-2</v>
      </c>
      <c r="P44" s="4">
        <f>HUNGARY2009ttl!P40/HUNGARY2009ttl!$BE$16</f>
        <v>1.5144921229001648E-2</v>
      </c>
      <c r="Q44" s="4">
        <f>HUNGARY2009ttl!Q40/HUNGARY2009ttl!$BE$17</f>
        <v>1.9276401086132242E-2</v>
      </c>
      <c r="R44" s="4">
        <f>HUNGARY2009ttl!R40/HUNGARY2009ttl!$BE$18</f>
        <v>2.8581508374887443E-2</v>
      </c>
      <c r="S44" s="4">
        <f>HUNGARY2009ttl!S40/HUNGARY2009ttl!$BE$19</f>
        <v>2.3279474818923968E-2</v>
      </c>
      <c r="T44" s="4">
        <f>HUNGARY2009ttl!T40/HUNGARY2009ttl!$BE$20</f>
        <v>1.9948864767212204E-2</v>
      </c>
      <c r="U44" s="4">
        <f>HUNGARY2009ttl!U40/HUNGARY2009ttl!$BE$21</f>
        <v>1.2449899143373589E-2</v>
      </c>
      <c r="V44" s="4">
        <f>HUNGARY2009ttl!V40/HUNGARY2009ttl!$BE$22</f>
        <v>2.3517169614984394E-2</v>
      </c>
      <c r="W44" s="4">
        <f>HUNGARY2009ttl!W40/HUNGARY2009ttl!$BE$23</f>
        <v>1.7088670112936681E-2</v>
      </c>
      <c r="X44" s="4">
        <f>HUNGARY2009ttl!X40/HUNGARY2009ttl!$BE$24</f>
        <v>2.5066725705078553E-2</v>
      </c>
      <c r="Y44" s="4">
        <f>HUNGARY2009ttl!Y40/HUNGARY2009ttl!$BE$25</f>
        <v>1.8301852191454249E-2</v>
      </c>
      <c r="Z44" s="4">
        <f>HUNGARY2009ttl!Z40/HUNGARY2009ttl!$BE$26</f>
        <v>1.9889657098959422E-2</v>
      </c>
      <c r="AA44" s="4">
        <f>HUNGARY2009ttl!AA40/HUNGARY2009ttl!$BE$27</f>
        <v>3.7758606181303819E-2</v>
      </c>
      <c r="AB44" s="4">
        <f>HUNGARY2009ttl!AB40/HUNGARY2009ttl!$BE$28</f>
        <v>2.4114323526417587E-2</v>
      </c>
      <c r="AC44" s="4">
        <f>HUNGARY2009ttl!AC40/HUNGARY2009ttl!$BE$29</f>
        <v>4.0548258138206734E-2</v>
      </c>
      <c r="AD44" s="4">
        <f>HUNGARY2009ttl!AD40/HUNGARY2009ttl!$BE$30</f>
        <v>0.11075704073723192</v>
      </c>
      <c r="AE44" s="4">
        <f>HUNGARY2009ttl!AE40/HUNGARY2009ttl!$BE$31</f>
        <v>1.5934852502874845E-2</v>
      </c>
      <c r="AF44" s="4">
        <f>HUNGARY2009ttl!AF40/HUNGARY2009ttl!$BE$32</f>
        <v>1.3727667305945294E-2</v>
      </c>
      <c r="AG44" s="4">
        <f>HUNGARY2009ttl!AG40/HUNGARY2009ttl!$BE$33</f>
        <v>1.7089111477291662E-2</v>
      </c>
      <c r="AH44" s="4">
        <f>HUNGARY2009ttl!AH40/HUNGARY2009ttl!$BE$34</f>
        <v>1.1167694094523364E-2</v>
      </c>
      <c r="AI44" s="4">
        <f>HUNGARY2009ttl!AI40/HUNGARY2009ttl!$BE$35</f>
        <v>3.0883574923829746E-2</v>
      </c>
      <c r="AJ44" s="4">
        <f>HUNGARY2009ttl!AJ40/HUNGARY2009ttl!$BE$36</f>
        <v>3.2426630511538559E-2</v>
      </c>
      <c r="AK44" s="4">
        <f>HUNGARY2009ttl!AK40/HUNGARY2009ttl!$BE$37</f>
        <v>3.9075516292766087E-2</v>
      </c>
      <c r="AL44" s="4">
        <f>HUNGARY2009ttl!AL40/HUNGARY2009ttl!$BE$38</f>
        <v>1.9056128232140715E-2</v>
      </c>
      <c r="AM44" s="4">
        <f>HUNGARY2009ttl!AM40/HUNGARY2009ttl!$BE$39</f>
        <v>2.715873468224566E-2</v>
      </c>
      <c r="AN44" s="4">
        <f>HUNGARY2009ttl!AN40/HUNGARY2009ttl!$BE$40</f>
        <v>3.9611452574358351E-2</v>
      </c>
      <c r="AO44" s="4">
        <f>HUNGARY2009ttl!AO40/HUNGARY2009ttl!$BE$41</f>
        <v>1.0738928433803266E-2</v>
      </c>
      <c r="AP44" s="4">
        <f>HUNGARY2009ttl!AP40/HUNGARY2009ttl!$BE$42</f>
        <v>1.0099009900990099E-2</v>
      </c>
      <c r="AQ44" s="4">
        <f>HUNGARY2009ttl!AQ40/HUNGARY2009ttl!$BE$43</f>
        <v>1.6022596610508422E-2</v>
      </c>
      <c r="AR44" s="4">
        <f>HUNGARY2009ttl!AR40/HUNGARY2009ttl!$BE$44</f>
        <v>4.9347365289502051E-2</v>
      </c>
      <c r="AS44" s="4">
        <f>HUNGARY2009ttl!AS40/HUNGARY2009ttl!$BE$45</f>
        <v>1.7536798528058874E-2</v>
      </c>
      <c r="AT44" s="4">
        <f>HUNGARY2009ttl!AT40/HUNGARY2009ttl!$BE$46</f>
        <v>0</v>
      </c>
    </row>
    <row r="45" spans="1:46" x14ac:dyDescent="0.3">
      <c r="A45" s="14" t="s">
        <v>93</v>
      </c>
      <c r="B45" s="4">
        <f>HUNGARY2009ttl!B41/HUNGARY2009ttl!$BE$2</f>
        <v>3.7155693730924534E-3</v>
      </c>
      <c r="C45" s="4">
        <f>HUNGARY2009ttl!C41/HUNGARY2009ttl!$BE$3</f>
        <v>1.0570824524312895E-2</v>
      </c>
      <c r="D45" s="4">
        <f>HUNGARY2009ttl!D41/HUNGARY2009ttl!$BE$4</f>
        <v>5.6390977443609453E-3</v>
      </c>
      <c r="E45" s="4">
        <f>HUNGARY2009ttl!E41/HUNGARY2009ttl!$BE$5</f>
        <v>6.7880283863005235E-3</v>
      </c>
      <c r="F45" s="4">
        <f>HUNGARY2009ttl!F41/HUNGARY2009ttl!$BE$6</f>
        <v>1.1691348402182387E-2</v>
      </c>
      <c r="G45" s="4">
        <f>HUNGARY2009ttl!G41/HUNGARY2009ttl!$BE$7</f>
        <v>3.1282755482607595E-3</v>
      </c>
      <c r="H45" s="4">
        <f>HUNGARY2009ttl!H41/HUNGARY2009ttl!$BE$8</f>
        <v>1.6160109391509729E-3</v>
      </c>
      <c r="I45" s="4">
        <f>HUNGARY2009ttl!I41/HUNGARY2009ttl!$BE$9</f>
        <v>1.6614542611415168E-3</v>
      </c>
      <c r="J45" s="4">
        <f>HUNGARY2009ttl!J41/HUNGARY2009ttl!$BE$10</f>
        <v>2.0553359683794471E-3</v>
      </c>
      <c r="K45" s="4">
        <f>HUNGARY2009ttl!K41/HUNGARY2009ttl!$BE$11</f>
        <v>1.2872136774704599E-3</v>
      </c>
      <c r="L45" s="4">
        <f>HUNGARY2009ttl!L41/HUNGARY2009ttl!$BE$12</f>
        <v>1.5247164562379634E-3</v>
      </c>
      <c r="M45" s="4">
        <f>HUNGARY2009ttl!M41/HUNGARY2009ttl!$BE$13</f>
        <v>1.3230297381002498E-3</v>
      </c>
      <c r="N45" s="4">
        <f>HUNGARY2009ttl!N41/HUNGARY2009ttl!$BE$14</f>
        <v>1.9505534695469836E-3</v>
      </c>
      <c r="O45" s="4">
        <f>HUNGARY2009ttl!O41/HUNGARY2009ttl!$BE$15</f>
        <v>2.0735937264364352E-3</v>
      </c>
      <c r="P45" s="4">
        <f>HUNGARY2009ttl!P41/HUNGARY2009ttl!$BE$16</f>
        <v>1.2620767690834707E-3</v>
      </c>
      <c r="Q45" s="4">
        <f>HUNGARY2009ttl!Q41/HUNGARY2009ttl!$BE$17</f>
        <v>1.8346828444922819E-3</v>
      </c>
      <c r="R45" s="4">
        <f>HUNGARY2009ttl!R41/HUNGARY2009ttl!$BE$18</f>
        <v>1.7955590191298118E-3</v>
      </c>
      <c r="S45" s="4">
        <f>HUNGARY2009ttl!S41/HUNGARY2009ttl!$BE$19</f>
        <v>1.5261258205954318E-3</v>
      </c>
      <c r="T45" s="4">
        <f>HUNGARY2009ttl!T41/HUNGARY2009ttl!$BE$20</f>
        <v>1.485065143836979E-3</v>
      </c>
      <c r="U45" s="4">
        <f>HUNGARY2009ttl!U41/HUNGARY2009ttl!$BE$21</f>
        <v>1.480103738244309E-3</v>
      </c>
      <c r="V45" s="4">
        <f>HUNGARY2009ttl!V41/HUNGARY2009ttl!$BE$22</f>
        <v>2.7055150884495319E-3</v>
      </c>
      <c r="W45" s="4">
        <f>HUNGARY2009ttl!W41/HUNGARY2009ttl!$BE$23</f>
        <v>1.7450857726120309E-3</v>
      </c>
      <c r="X45" s="4">
        <f>HUNGARY2009ttl!X41/HUNGARY2009ttl!$BE$24</f>
        <v>4.1326888306704576E-3</v>
      </c>
      <c r="Y45" s="4">
        <f>HUNGARY2009ttl!Y41/HUNGARY2009ttl!$BE$25</f>
        <v>1.5184302218962041E-2</v>
      </c>
      <c r="Z45" s="4">
        <f>HUNGARY2009ttl!Z41/HUNGARY2009ttl!$BE$26</f>
        <v>2.8912633563796348E-3</v>
      </c>
      <c r="AA45" s="4">
        <f>HUNGARY2009ttl!AA41/HUNGARY2009ttl!$BE$27</f>
        <v>8.2345257033406925E-3</v>
      </c>
      <c r="AB45" s="4">
        <f>HUNGARY2009ttl!AB41/HUNGARY2009ttl!$BE$28</f>
        <v>1.2496182428993178E-2</v>
      </c>
      <c r="AC45" s="4">
        <f>HUNGARY2009ttl!AC41/HUNGARY2009ttl!$BE$29</f>
        <v>2.3986293546544829E-2</v>
      </c>
      <c r="AD45" s="4">
        <f>HUNGARY2009ttl!AD41/HUNGARY2009ttl!$BE$30</f>
        <v>1.9808801998105242E-2</v>
      </c>
      <c r="AE45" s="4">
        <f>HUNGARY2009ttl!AE41/HUNGARY2009ttl!$BE$31</f>
        <v>8.3781183262537848E-3</v>
      </c>
      <c r="AF45" s="4">
        <f>HUNGARY2009ttl!AF41/HUNGARY2009ttl!$BE$32</f>
        <v>2.6244069849601297E-3</v>
      </c>
      <c r="AG45" s="4">
        <f>HUNGARY2009ttl!AG41/HUNGARY2009ttl!$BE$33</f>
        <v>4.3139360500638758E-3</v>
      </c>
      <c r="AH45" s="4">
        <f>HUNGARY2009ttl!AH41/HUNGARY2009ttl!$BE$34</f>
        <v>3.2758569343935202E-3</v>
      </c>
      <c r="AI45" s="4">
        <f>HUNGARY2009ttl!AI41/HUNGARY2009ttl!$BE$35</f>
        <v>2.0819868894838885E-2</v>
      </c>
      <c r="AJ45" s="4">
        <f>HUNGARY2009ttl!AJ41/HUNGARY2009ttl!$BE$36</f>
        <v>4.8583453379657075E-3</v>
      </c>
      <c r="AK45" s="4">
        <f>HUNGARY2009ttl!AK41/HUNGARY2009ttl!$BE$37</f>
        <v>8.8631872602580493E-3</v>
      </c>
      <c r="AL45" s="4">
        <f>HUNGARY2009ttl!AL41/HUNGARY2009ttl!$BE$38</f>
        <v>3.0204429983064184E-3</v>
      </c>
      <c r="AM45" s="4">
        <f>HUNGARY2009ttl!AM41/HUNGARY2009ttl!$BE$39</f>
        <v>6.2980906241094344E-3</v>
      </c>
      <c r="AN45" s="4">
        <f>HUNGARY2009ttl!AN41/HUNGARY2009ttl!$BE$40</f>
        <v>4.9881088426969771E-3</v>
      </c>
      <c r="AO45" s="4">
        <f>HUNGARY2009ttl!AO41/HUNGARY2009ttl!$BE$41</f>
        <v>2.0401782792993886E-2</v>
      </c>
      <c r="AP45" s="4">
        <f>HUNGARY2009ttl!AP41/HUNGARY2009ttl!$BE$42</f>
        <v>2.036775106082037E-3</v>
      </c>
      <c r="AQ45" s="4">
        <f>HUNGARY2009ttl!AQ41/HUNGARY2009ttl!$BE$43</f>
        <v>1.1748237764335351E-3</v>
      </c>
      <c r="AR45" s="4">
        <f>HUNGARY2009ttl!AR41/HUNGARY2009ttl!$BE$44</f>
        <v>1.2457699602097354E-2</v>
      </c>
      <c r="AS45" s="4">
        <f>HUNGARY2009ttl!AS41/HUNGARY2009ttl!$BE$45</f>
        <v>1.1988270469181231E-2</v>
      </c>
      <c r="AT45" s="4">
        <f>HUNGARY2009ttl!AT41/HUNGARY2009ttl!$BE$46</f>
        <v>0</v>
      </c>
    </row>
    <row r="46" spans="1:46" x14ac:dyDescent="0.3">
      <c r="A46" s="14" t="s">
        <v>94</v>
      </c>
      <c r="B46" s="4">
        <f>HUNGARY2009ttl!B42/HUNGARY2009ttl!$BE$2</f>
        <v>4.075752118443252E-4</v>
      </c>
      <c r="C46" s="4">
        <f>HUNGARY2009ttl!C42/HUNGARY2009ttl!$BE$3</f>
        <v>0</v>
      </c>
      <c r="D46" s="4">
        <f>HUNGARY2009ttl!D42/HUNGARY2009ttl!$BE$4</f>
        <v>9.398496240601577E-4</v>
      </c>
      <c r="E46" s="4">
        <f>HUNGARY2009ttl!E42/HUNGARY2009ttl!$BE$5</f>
        <v>3.0854674483184197E-4</v>
      </c>
      <c r="F46" s="4">
        <f>HUNGARY2009ttl!F42/HUNGARY2009ttl!$BE$6</f>
        <v>1.1691348402182386E-3</v>
      </c>
      <c r="G46" s="4">
        <f>HUNGARY2009ttl!G42/HUNGARY2009ttl!$BE$7</f>
        <v>8.2066449447879659E-4</v>
      </c>
      <c r="H46" s="4">
        <f>HUNGARY2009ttl!H42/HUNGARY2009ttl!$BE$8</f>
        <v>5.593884020137983E-4</v>
      </c>
      <c r="I46" s="4">
        <f>HUNGARY2009ttl!I42/HUNGARY2009ttl!$BE$9</f>
        <v>8.7959343236903827E-4</v>
      </c>
      <c r="J46" s="4">
        <f>HUNGARY2009ttl!J42/HUNGARY2009ttl!$BE$10</f>
        <v>1.0671936758893284E-3</v>
      </c>
      <c r="K46" s="4">
        <f>HUNGARY2009ttl!K42/HUNGARY2009ttl!$BE$11</f>
        <v>3.6306026800448873E-4</v>
      </c>
      <c r="L46" s="4">
        <f>HUNGARY2009ttl!L42/HUNGARY2009ttl!$BE$12</f>
        <v>6.4198587631072133E-4</v>
      </c>
      <c r="M46" s="4">
        <f>HUNGARY2009ttl!M42/HUNGARY2009ttl!$BE$13</f>
        <v>1.8342003187298915E-3</v>
      </c>
      <c r="N46" s="4">
        <f>HUNGARY2009ttl!N42/HUNGARY2009ttl!$BE$14</f>
        <v>1.6579704491149361E-3</v>
      </c>
      <c r="O46" s="4">
        <f>HUNGARY2009ttl!O42/HUNGARY2009ttl!$BE$15</f>
        <v>1.0179460111597047E-3</v>
      </c>
      <c r="P46" s="4">
        <f>HUNGARY2009ttl!P42/HUNGARY2009ttl!$BE$16</f>
        <v>7.3983810601444835E-4</v>
      </c>
      <c r="Q46" s="4">
        <f>HUNGARY2009ttl!Q42/HUNGARY2009ttl!$BE$17</f>
        <v>7.0941069987034901E-4</v>
      </c>
      <c r="R46" s="4">
        <f>HUNGARY2009ttl!R42/HUNGARY2009ttl!$BE$18</f>
        <v>5.7394701784501323E-4</v>
      </c>
      <c r="S46" s="4">
        <f>HUNGARY2009ttl!S42/HUNGARY2009ttl!$BE$19</f>
        <v>8.2362345873404261E-4</v>
      </c>
      <c r="T46" s="4">
        <f>HUNGARY2009ttl!T42/HUNGARY2009ttl!$BE$20</f>
        <v>1.2554158947900235E-3</v>
      </c>
      <c r="U46" s="4">
        <f>HUNGARY2009ttl!U42/HUNGARY2009ttl!$BE$21</f>
        <v>6.2216750058942188E-4</v>
      </c>
      <c r="V46" s="4">
        <f>HUNGARY2009ttl!V42/HUNGARY2009ttl!$BE$22</f>
        <v>2.2892819979188346E-3</v>
      </c>
      <c r="W46" s="4">
        <f>HUNGARY2009ttl!W42/HUNGARY2009ttl!$BE$23</f>
        <v>8.5607981297948694E-4</v>
      </c>
      <c r="X46" s="4">
        <f>HUNGARY2009ttl!X42/HUNGARY2009ttl!$BE$24</f>
        <v>7.9947849402851119E-4</v>
      </c>
      <c r="Y46" s="4">
        <f>HUNGARY2009ttl!Y42/HUNGARY2009ttl!$BE$25</f>
        <v>1.6504676324958741E-3</v>
      </c>
      <c r="Z46" s="4">
        <f>HUNGARY2009ttl!Z42/HUNGARY2009ttl!$BE$26</f>
        <v>9.8470563586842649E-4</v>
      </c>
      <c r="AA46" s="4">
        <f>HUNGARY2009ttl!AA42/HUNGARY2009ttl!$BE$27</f>
        <v>3.069414447084657E-3</v>
      </c>
      <c r="AB46" s="4">
        <f>HUNGARY2009ttl!AB42/HUNGARY2009ttl!$BE$28</f>
        <v>7.6351420136414527E-4</v>
      </c>
      <c r="AC46" s="4">
        <f>HUNGARY2009ttl!AC42/HUNGARY2009ttl!$BE$29</f>
        <v>5.7110222729868647E-4</v>
      </c>
      <c r="AD46" s="4">
        <f>HUNGARY2009ttl!AD42/HUNGARY2009ttl!$BE$30</f>
        <v>2.8421324605977087E-3</v>
      </c>
      <c r="AE46" s="4">
        <f>HUNGARY2009ttl!AE42/HUNGARY2009ttl!$BE$31</f>
        <v>2.0417263148013419E-3</v>
      </c>
      <c r="AF46" s="4">
        <f>HUNGARY2009ttl!AF42/HUNGARY2009ttl!$BE$32</f>
        <v>2.3215907943878069E-3</v>
      </c>
      <c r="AG46" s="4">
        <f>HUNGARY2009ttl!AG42/HUNGARY2009ttl!$BE$33</f>
        <v>1.1108848197589379E-3</v>
      </c>
      <c r="AH46" s="4">
        <f>HUNGARY2009ttl!AH42/HUNGARY2009ttl!$BE$34</f>
        <v>9.8275708031805593E-4</v>
      </c>
      <c r="AI46" s="4">
        <f>HUNGARY2009ttl!AI42/HUNGARY2009ttl!$BE$35</f>
        <v>2.3774351398762809E-3</v>
      </c>
      <c r="AJ46" s="4">
        <f>HUNGARY2009ttl!AJ42/HUNGARY2009ttl!$BE$36</f>
        <v>3.8697285540773368E-3</v>
      </c>
      <c r="AK46" s="4">
        <f>HUNGARY2009ttl!AK42/HUNGARY2009ttl!$BE$37</f>
        <v>3.3127978612112054E-3</v>
      </c>
      <c r="AL46" s="4">
        <f>HUNGARY2009ttl!AL42/HUNGARY2009ttl!$BE$38</f>
        <v>6.4009388043579729E-4</v>
      </c>
      <c r="AM46" s="4">
        <f>HUNGARY2009ttl!AM42/HUNGARY2009ttl!$BE$39</f>
        <v>3.1442956207846503E-3</v>
      </c>
      <c r="AN46" s="4">
        <f>HUNGARY2009ttl!AN42/HUNGARY2009ttl!$BE$40</f>
        <v>2.5326620749297349E-3</v>
      </c>
      <c r="AO46" s="4">
        <f>HUNGARY2009ttl!AO42/HUNGARY2009ttl!$BE$41</f>
        <v>2.7847052065989512E-3</v>
      </c>
      <c r="AP46" s="4">
        <f>HUNGARY2009ttl!AP42/HUNGARY2009ttl!$BE$42</f>
        <v>3.1357850070721359E-2</v>
      </c>
      <c r="AQ46" s="4">
        <f>HUNGARY2009ttl!AQ42/HUNGARY2009ttl!$BE$43</f>
        <v>1.2998050292456133E-3</v>
      </c>
      <c r="AR46" s="4">
        <f>HUNGARY2009ttl!AR42/HUNGARY2009ttl!$BE$44</f>
        <v>7.065560968353723E-4</v>
      </c>
      <c r="AS46" s="4">
        <f>HUNGARY2009ttl!AS42/HUNGARY2009ttl!$BE$45</f>
        <v>4.8873045078196868E-3</v>
      </c>
      <c r="AT46" s="4">
        <f>HUNGARY2009ttl!AT42/HUNGARY2009ttl!$BE$46</f>
        <v>0</v>
      </c>
    </row>
    <row r="47" spans="1:46" x14ac:dyDescent="0.3">
      <c r="A47" s="14" t="s">
        <v>95</v>
      </c>
      <c r="B47" s="4">
        <f>HUNGARY2009ttl!B43/HUNGARY2009ttl!$BE$2</f>
        <v>9.4784932987052368E-5</v>
      </c>
      <c r="C47" s="4">
        <f>HUNGARY2009ttl!C43/HUNGARY2009ttl!$BE$3</f>
        <v>2.1141649048625794E-3</v>
      </c>
      <c r="D47" s="4">
        <f>HUNGARY2009ttl!D43/HUNGARY2009ttl!$BE$4</f>
        <v>0</v>
      </c>
      <c r="E47" s="4">
        <f>HUNGARY2009ttl!E43/HUNGARY2009ttl!$BE$5</f>
        <v>3.0854674483184197E-4</v>
      </c>
      <c r="F47" s="4">
        <f>HUNGARY2009ttl!F43/HUNGARY2009ttl!$BE$6</f>
        <v>3.8971161340607956E-4</v>
      </c>
      <c r="G47" s="4">
        <f>HUNGARY2009ttl!G43/HUNGARY2009ttl!$BE$7</f>
        <v>5.9315354551437772E-4</v>
      </c>
      <c r="H47" s="4">
        <f>HUNGARY2009ttl!H43/HUNGARY2009ttl!$BE$8</f>
        <v>9.9446827024675258E-4</v>
      </c>
      <c r="I47" s="4">
        <f>HUNGARY2009ttl!I43/HUNGARY2009ttl!$BE$9</f>
        <v>9.7732603596559805E-4</v>
      </c>
      <c r="J47" s="4">
        <f>HUNGARY2009ttl!J43/HUNGARY2009ttl!$BE$10</f>
        <v>6.3241106719367601E-4</v>
      </c>
      <c r="K47" s="4">
        <f>HUNGARY2009ttl!K43/HUNGARY2009ttl!$BE$11</f>
        <v>2.6404383127599183E-4</v>
      </c>
      <c r="L47" s="4">
        <f>HUNGARY2009ttl!L43/HUNGARY2009ttl!$BE$12</f>
        <v>7.4898352236250822E-4</v>
      </c>
      <c r="M47" s="4">
        <f>HUNGARY2009ttl!M43/HUNGARY2009ttl!$BE$13</f>
        <v>5.6830141022942539E-3</v>
      </c>
      <c r="N47" s="4">
        <f>HUNGARY2009ttl!N43/HUNGARY2009ttl!$BE$14</f>
        <v>6.8269371434144424E-4</v>
      </c>
      <c r="O47" s="4">
        <f>HUNGARY2009ttl!O43/HUNGARY2009ttl!$BE$15</f>
        <v>7.5403408234052188E-4</v>
      </c>
      <c r="P47" s="4">
        <f>HUNGARY2009ttl!P43/HUNGARY2009ttl!$BE$16</f>
        <v>1.0444773261380448E-3</v>
      </c>
      <c r="Q47" s="4">
        <f>HUNGARY2009ttl!Q43/HUNGARY2009ttl!$BE$17</f>
        <v>6.360233860906577E-4</v>
      </c>
      <c r="R47" s="4">
        <f>HUNGARY2009ttl!R43/HUNGARY2009ttl!$BE$18</f>
        <v>3.738553969449168E-4</v>
      </c>
      <c r="S47" s="4">
        <f>HUNGARY2009ttl!S43/HUNGARY2009ttl!$BE$19</f>
        <v>4.6026016811608262E-4</v>
      </c>
      <c r="T47" s="4">
        <f>HUNGARY2009ttl!T43/HUNGARY2009ttl!$BE$20</f>
        <v>6.4301789733147547E-4</v>
      </c>
      <c r="U47" s="4">
        <f>HUNGARY2009ttl!U43/HUNGARY2009ttl!$BE$21</f>
        <v>3.6675136876850132E-4</v>
      </c>
      <c r="V47" s="4">
        <f>HUNGARY2009ttl!V43/HUNGARY2009ttl!$BE$22</f>
        <v>1.0405827263267431E-3</v>
      </c>
      <c r="W47" s="4">
        <f>HUNGARY2009ttl!W43/HUNGARY2009ttl!$BE$23</f>
        <v>1.415824306081459E-3</v>
      </c>
      <c r="X47" s="4">
        <f>HUNGARY2009ttl!X43/HUNGARY2009ttl!$BE$24</f>
        <v>7.9947849402851119E-4</v>
      </c>
      <c r="Y47" s="4">
        <f>HUNGARY2009ttl!Y43/HUNGARY2009ttl!$BE$25</f>
        <v>2.7874564459930318E-3</v>
      </c>
      <c r="Z47" s="4">
        <f>HUNGARY2009ttl!Z43/HUNGARY2009ttl!$BE$26</f>
        <v>5.0282840980515398E-4</v>
      </c>
      <c r="AA47" s="4">
        <f>HUNGARY2009ttl!AA43/HUNGARY2009ttl!$BE$27</f>
        <v>1.727046510043717E-3</v>
      </c>
      <c r="AB47" s="4">
        <f>HUNGARY2009ttl!AB43/HUNGARY2009ttl!$BE$28</f>
        <v>4.822864705283517E-3</v>
      </c>
      <c r="AC47" s="4">
        <f>HUNGARY2009ttl!AC43/HUNGARY2009ttl!$BE$29</f>
        <v>1.7133066818960591E-3</v>
      </c>
      <c r="AD47" s="4">
        <f>HUNGARY2009ttl!AD43/HUNGARY2009ttl!$BE$30</f>
        <v>6.8900180862974765E-4</v>
      </c>
      <c r="AE47" s="4">
        <f>HUNGARY2009ttl!AE43/HUNGARY2009ttl!$BE$31</f>
        <v>8.448522681936589E-4</v>
      </c>
      <c r="AF47" s="4">
        <f>HUNGARY2009ttl!AF43/HUNGARY2009ttl!$BE$32</f>
        <v>2.2206520641970331E-3</v>
      </c>
      <c r="AG47" s="4">
        <f>HUNGARY2009ttl!AG43/HUNGARY2009ttl!$BE$33</f>
        <v>2.4254318564736811E-3</v>
      </c>
      <c r="AH47" s="4">
        <f>HUNGARY2009ttl!AH43/HUNGARY2009ttl!$BE$34</f>
        <v>3.5736621102474761E-4</v>
      </c>
      <c r="AI47" s="4">
        <f>HUNGARY2009ttl!AI43/HUNGARY2009ttl!$BE$35</f>
        <v>2.5390084018096207E-4</v>
      </c>
      <c r="AJ47" s="4">
        <f>HUNGARY2009ttl!AJ43/HUNGARY2009ttl!$BE$36</f>
        <v>7.3440103945993259E-4</v>
      </c>
      <c r="AK47" s="4">
        <f>HUNGARY2009ttl!AK43/HUNGARY2009ttl!$BE$37</f>
        <v>6.1993878104537182E-4</v>
      </c>
      <c r="AL47" s="4">
        <f>HUNGARY2009ttl!AL43/HUNGARY2009ttl!$BE$38</f>
        <v>2.8004107269066135E-4</v>
      </c>
      <c r="AM47" s="4">
        <f>HUNGARY2009ttl!AM43/HUNGARY2009ttl!$BE$39</f>
        <v>6.5545739526930776E-4</v>
      </c>
      <c r="AN47" s="4">
        <f>HUNGARY2009ttl!AN43/HUNGARY2009ttl!$BE$40</f>
        <v>1.8222812490348093E-3</v>
      </c>
      <c r="AO47" s="4">
        <f>HUNGARY2009ttl!AO43/HUNGARY2009ttl!$BE$41</f>
        <v>1.6722772781142527E-4</v>
      </c>
      <c r="AP47" s="4">
        <f>HUNGARY2009ttl!AP43/HUNGARY2009ttl!$BE$42</f>
        <v>4.8090523338048091E-4</v>
      </c>
      <c r="AQ47" s="4">
        <f>HUNGARY2009ttl!AQ43/HUNGARY2009ttl!$BE$43</f>
        <v>5.1304804279358095E-2</v>
      </c>
      <c r="AR47" s="4">
        <f>HUNGARY2009ttl!AR43/HUNGARY2009ttl!$BE$44</f>
        <v>1.8965453125581045E-3</v>
      </c>
      <c r="AS47" s="4">
        <f>HUNGARY2009ttl!AS43/HUNGARY2009ttl!$BE$45</f>
        <v>4.1110855565777366E-3</v>
      </c>
      <c r="AT47" s="4">
        <f>HUNGARY2009ttl!AT43/HUNGARY2009ttl!$BE$46</f>
        <v>0</v>
      </c>
    </row>
    <row r="48" spans="1:46" x14ac:dyDescent="0.3">
      <c r="A48" s="14" t="s">
        <v>96</v>
      </c>
      <c r="B48" s="4">
        <f>HUNGARY2009ttl!B44/HUNGARY2009ttl!$BE$2</f>
        <v>2.3696233246763094E-4</v>
      </c>
      <c r="C48" s="4">
        <f>HUNGARY2009ttl!C44/HUNGARY2009ttl!$BE$3</f>
        <v>0</v>
      </c>
      <c r="D48" s="4">
        <f>HUNGARY2009ttl!D44/HUNGARY2009ttl!$BE$4</f>
        <v>0</v>
      </c>
      <c r="E48" s="4">
        <f>HUNGARY2009ttl!E44/HUNGARY2009ttl!$BE$5</f>
        <v>9.2564023449552579E-4</v>
      </c>
      <c r="F48" s="4">
        <f>HUNGARY2009ttl!F44/HUNGARY2009ttl!$BE$6</f>
        <v>3.8971161340607956E-4</v>
      </c>
      <c r="G48" s="4">
        <f>HUNGARY2009ttl!G44/HUNGARY2009ttl!$BE$7</f>
        <v>7.3941058413436135E-4</v>
      </c>
      <c r="H48" s="4">
        <f>HUNGARY2009ttl!H44/HUNGARY2009ttl!$BE$8</f>
        <v>6.2154266890422031E-4</v>
      </c>
      <c r="I48" s="4">
        <f>HUNGARY2009ttl!I44/HUNGARY2009ttl!$BE$9</f>
        <v>5.8639562157935881E-4</v>
      </c>
      <c r="J48" s="4">
        <f>HUNGARY2009ttl!J44/HUNGARY2009ttl!$BE$10</f>
        <v>7.5098814229249025E-4</v>
      </c>
      <c r="K48" s="4">
        <f>HUNGARY2009ttl!K44/HUNGARY2009ttl!$BE$11</f>
        <v>1.8153013400224436E-4</v>
      </c>
      <c r="L48" s="4">
        <f>HUNGARY2009ttl!L44/HUNGARY2009ttl!$BE$12</f>
        <v>4.2799058420714761E-4</v>
      </c>
      <c r="M48" s="4">
        <f>HUNGARY2009ttl!M44/HUNGARY2009ttl!$BE$13</f>
        <v>9.6220344589109067E-4</v>
      </c>
      <c r="N48" s="4">
        <f>HUNGARY2009ttl!N44/HUNGARY2009ttl!$BE$14</f>
        <v>6.3392987760276973E-4</v>
      </c>
      <c r="O48" s="4">
        <f>HUNGARY2009ttl!O44/HUNGARY2009ttl!$BE$15</f>
        <v>4.9012215352133926E-4</v>
      </c>
      <c r="P48" s="4">
        <f>HUNGARY2009ttl!P44/HUNGARY2009ttl!$BE$16</f>
        <v>4.3519888589085203E-4</v>
      </c>
      <c r="Q48" s="4">
        <f>HUNGARY2009ttl!Q44/HUNGARY2009ttl!$BE$17</f>
        <v>6.360233860906577E-4</v>
      </c>
      <c r="R48" s="4">
        <f>HUNGARY2009ttl!R44/HUNGARY2009ttl!$BE$18</f>
        <v>5.3708803504762693E-4</v>
      </c>
      <c r="S48" s="4">
        <f>HUNGARY2009ttl!S44/HUNGARY2009ttl!$BE$19</f>
        <v>5.0870860686514393E-4</v>
      </c>
      <c r="T48" s="4">
        <f>HUNGARY2009ttl!T44/HUNGARY2009ttl!$BE$20</f>
        <v>5.0522834790330212E-4</v>
      </c>
      <c r="U48" s="4">
        <f>HUNGARY2009ttl!U44/HUNGARY2009ttl!$BE$21</f>
        <v>3.0780918450213507E-4</v>
      </c>
      <c r="V48" s="4">
        <f>HUNGARY2009ttl!V44/HUNGARY2009ttl!$BE$22</f>
        <v>6.2434963579604576E-4</v>
      </c>
      <c r="W48" s="4">
        <f>HUNGARY2009ttl!W44/HUNGARY2009ttl!$BE$23</f>
        <v>4.9389219979585782E-4</v>
      </c>
      <c r="X48" s="4">
        <f>HUNGARY2009ttl!X44/HUNGARY2009ttl!$BE$24</f>
        <v>3.9358941244480554E-4</v>
      </c>
      <c r="Y48" s="4">
        <f>HUNGARY2009ttl!Y44/HUNGARY2009ttl!$BE$25</f>
        <v>7.3354116999816625E-4</v>
      </c>
      <c r="Z48" s="4">
        <f>HUNGARY2009ttl!Z44/HUNGARY2009ttl!$BE$26</f>
        <v>7.7519379844961228E-4</v>
      </c>
      <c r="AA48" s="4">
        <f>HUNGARY2009ttl!AA44/HUNGARY2009ttl!$BE$27</f>
        <v>1.2982901838843718E-3</v>
      </c>
      <c r="AB48" s="4">
        <f>HUNGARY2009ttl!AB44/HUNGARY2009ttl!$BE$28</f>
        <v>8.3986562150055975E-4</v>
      </c>
      <c r="AC48" s="4">
        <f>HUNGARY2009ttl!AC44/HUNGARY2009ttl!$BE$29</f>
        <v>5.7110222729868647E-4</v>
      </c>
      <c r="AD48" s="4">
        <f>HUNGARY2009ttl!AD44/HUNGARY2009ttl!$BE$30</f>
        <v>6.0287658255102914E-4</v>
      </c>
      <c r="AE48" s="4">
        <f>HUNGARY2009ttl!AE44/HUNGARY2009ttl!$BE$31</f>
        <v>2.4641524488981715E-3</v>
      </c>
      <c r="AF48" s="4">
        <f>HUNGARY2009ttl!AF44/HUNGARY2009ttl!$BE$32</f>
        <v>6.056323811446453E-4</v>
      </c>
      <c r="AG48" s="4">
        <f>HUNGARY2009ttl!AG44/HUNGARY2009ttl!$BE$33</f>
        <v>1.2590027957267963E-3</v>
      </c>
      <c r="AH48" s="4">
        <f>HUNGARY2009ttl!AH44/HUNGARY2009ttl!$BE$34</f>
        <v>7.3260073260073269E-3</v>
      </c>
      <c r="AI48" s="4">
        <f>HUNGARY2009ttl!AI44/HUNGARY2009ttl!$BE$35</f>
        <v>9.0019388791431985E-4</v>
      </c>
      <c r="AJ48" s="4">
        <f>HUNGARY2009ttl!AJ44/HUNGARY2009ttl!$BE$36</f>
        <v>1.1016015591898988E-3</v>
      </c>
      <c r="AK48" s="4">
        <f>HUNGARY2009ttl!AK44/HUNGARY2009ttl!$BE$37</f>
        <v>5.7150606377620215E-4</v>
      </c>
      <c r="AL48" s="4">
        <f>HUNGARY2009ttl!AL44/HUNGARY2009ttl!$BE$38</f>
        <v>5.2674392244195819E-4</v>
      </c>
      <c r="AM48" s="4">
        <f>HUNGARY2009ttl!AM44/HUNGARY2009ttl!$BE$39</f>
        <v>1.1969222000569966E-3</v>
      </c>
      <c r="AN48" s="4">
        <f>HUNGARY2009ttl!AN44/HUNGARY2009ttl!$BE$40</f>
        <v>4.1387404639095671E-3</v>
      </c>
      <c r="AO48" s="4">
        <f>HUNGARY2009ttl!AO44/HUNGARY2009ttl!$BE$41</f>
        <v>3.3445545562285053E-4</v>
      </c>
      <c r="AP48" s="4">
        <f>HUNGARY2009ttl!AP44/HUNGARY2009ttl!$BE$42</f>
        <v>1.4144271570014144E-4</v>
      </c>
      <c r="AQ48" s="4">
        <f>HUNGARY2009ttl!AQ44/HUNGARY2009ttl!$BE$43</f>
        <v>6.8739689046643003E-4</v>
      </c>
      <c r="AR48" s="4">
        <f>HUNGARY2009ttl!AR44/HUNGARY2009ttl!$BE$44</f>
        <v>5.392138633743631E-2</v>
      </c>
      <c r="AS48" s="4">
        <f>HUNGARY2009ttl!AS44/HUNGARY2009ttl!$BE$45</f>
        <v>2.8748850045998155E-3</v>
      </c>
      <c r="AT48" s="4">
        <f>HUNGARY2009ttl!AT44/HUNGARY2009ttl!$BE$46</f>
        <v>0</v>
      </c>
    </row>
    <row r="49" spans="1:46" x14ac:dyDescent="0.3">
      <c r="A49" s="14" t="s">
        <v>97</v>
      </c>
      <c r="B49" s="4">
        <f>HUNGARY2009ttl!B45/HUNGARY2009ttl!$BE$2</f>
        <v>2.0663115391177417E-3</v>
      </c>
      <c r="C49" s="4">
        <f>HUNGARY2009ttl!C45/HUNGARY2009ttl!$BE$3</f>
        <v>4.2283298097251587E-3</v>
      </c>
      <c r="D49" s="4">
        <f>HUNGARY2009ttl!D45/HUNGARY2009ttl!$BE$4</f>
        <v>9.398496240601577E-4</v>
      </c>
      <c r="E49" s="4">
        <f>HUNGARY2009ttl!E45/HUNGARY2009ttl!$BE$5</f>
        <v>1.5427337241592097E-3</v>
      </c>
      <c r="F49" s="4">
        <f>HUNGARY2009ttl!F45/HUNGARY2009ttl!$BE$6</f>
        <v>7.7942322681215912E-4</v>
      </c>
      <c r="G49" s="4">
        <f>HUNGARY2009ttl!G45/HUNGARY2009ttl!$BE$7</f>
        <v>2.0963508868864309E-3</v>
      </c>
      <c r="H49" s="4">
        <f>HUNGARY2009ttl!H45/HUNGARY2009ttl!$BE$8</f>
        <v>1.4917024053701287E-3</v>
      </c>
      <c r="I49" s="4">
        <f>HUNGARY2009ttl!I45/HUNGARY2009ttl!$BE$9</f>
        <v>1.4659890539483972E-3</v>
      </c>
      <c r="J49" s="4">
        <f>HUNGARY2009ttl!J45/HUNGARY2009ttl!$BE$10</f>
        <v>1.897233201581028E-3</v>
      </c>
      <c r="K49" s="4">
        <f>HUNGARY2009ttl!K45/HUNGARY2009ttl!$BE$11</f>
        <v>7.426232754637269E-4</v>
      </c>
      <c r="L49" s="4">
        <f>HUNGARY2009ttl!L45/HUNGARY2009ttl!$BE$12</f>
        <v>1.4444682216991232E-3</v>
      </c>
      <c r="M49" s="4">
        <f>HUNGARY2009ttl!M45/HUNGARY2009ttl!$BE$13</f>
        <v>4.3900532218781006E-3</v>
      </c>
      <c r="N49" s="4">
        <f>HUNGARY2009ttl!N45/HUNGARY2009ttl!$BE$14</f>
        <v>1.1947140000975276E-3</v>
      </c>
      <c r="O49" s="4">
        <f>HUNGARY2009ttl!O45/HUNGARY2009ttl!$BE$15</f>
        <v>1.4703664605640176E-3</v>
      </c>
      <c r="P49" s="4">
        <f>HUNGARY2009ttl!P45/HUNGARY2009ttl!$BE$16</f>
        <v>1.0009574375489595E-3</v>
      </c>
      <c r="Q49" s="4">
        <f>HUNGARY2009ttl!Q45/HUNGARY2009ttl!$BE$17</f>
        <v>1.2475843342547516E-3</v>
      </c>
      <c r="R49" s="4">
        <f>HUNGARY2009ttl!R45/HUNGARY2009ttl!$BE$18</f>
        <v>1.1531596046610814E-3</v>
      </c>
      <c r="S49" s="4">
        <f>HUNGARY2009ttl!S45/HUNGARY2009ttl!$BE$19</f>
        <v>1.2838836268501252E-3</v>
      </c>
      <c r="T49" s="4">
        <f>HUNGARY2009ttl!T45/HUNGARY2009ttl!$BE$20</f>
        <v>1.3625855443452695E-3</v>
      </c>
      <c r="U49" s="4">
        <f>HUNGARY2009ttl!U45/HUNGARY2009ttl!$BE$21</f>
        <v>6.1561836900427013E-4</v>
      </c>
      <c r="V49" s="4">
        <f>HUNGARY2009ttl!V45/HUNGARY2009ttl!$BE$22</f>
        <v>1.6649323621227888E-3</v>
      </c>
      <c r="W49" s="4">
        <f>HUNGARY2009ttl!W45/HUNGARY2009ttl!$BE$23</f>
        <v>1.8438642125712024E-3</v>
      </c>
      <c r="X49" s="4">
        <f>HUNGARY2009ttl!X45/HUNGARY2009ttl!$BE$24</f>
        <v>3.2594123218085452E-3</v>
      </c>
      <c r="Y49" s="4">
        <f>HUNGARY2009ttl!Y45/HUNGARY2009ttl!$BE$25</f>
        <v>6.4918393544837714E-3</v>
      </c>
      <c r="Z49" s="4">
        <f>HUNGARY2009ttl!Z45/HUNGARY2009ttl!$BE$26</f>
        <v>2.2836790278650742E-3</v>
      </c>
      <c r="AA49" s="4">
        <f>HUNGARY2009ttl!AA45/HUNGARY2009ttl!$BE$27</f>
        <v>5.7902139373855474E-3</v>
      </c>
      <c r="AB49" s="4">
        <f>HUNGARY2009ttl!AB45/HUNGARY2009ttl!$BE$28</f>
        <v>1.9087855034103632E-3</v>
      </c>
      <c r="AC49" s="4">
        <f>HUNGARY2009ttl!AC45/HUNGARY2009ttl!$BE$29</f>
        <v>2.8555111364934318E-3</v>
      </c>
      <c r="AD49" s="4">
        <f>HUNGARY2009ttl!AD45/HUNGARY2009ttl!$BE$30</f>
        <v>3.5311342692274559E-3</v>
      </c>
      <c r="AE49" s="4">
        <f>HUNGARY2009ttl!AE45/HUNGARY2009ttl!$BE$31</f>
        <v>6.9700312125976849E-3</v>
      </c>
      <c r="AF49" s="4">
        <f>HUNGARY2009ttl!AF45/HUNGARY2009ttl!$BE$32</f>
        <v>3.5328555566770978E-3</v>
      </c>
      <c r="AG49" s="4">
        <f>HUNGARY2009ttl!AG45/HUNGARY2009ttl!$BE$33</f>
        <v>4.9434374479272736E-3</v>
      </c>
      <c r="AH49" s="4">
        <f>HUNGARY2009ttl!AH45/HUNGARY2009ttl!$BE$34</f>
        <v>3.4843205574912892E-3</v>
      </c>
      <c r="AI49" s="4">
        <f>HUNGARY2009ttl!AI45/HUNGARY2009ttl!$BE$35</f>
        <v>5.7473917459145039E-3</v>
      </c>
      <c r="AJ49" s="4">
        <f>HUNGARY2009ttl!AJ45/HUNGARY2009ttl!$BE$36</f>
        <v>9.8014292574075627E-3</v>
      </c>
      <c r="AK49" s="4">
        <f>HUNGARY2009ttl!AK45/HUNGARY2009ttl!$BE$37</f>
        <v>4.4364369018559417E-3</v>
      </c>
      <c r="AL49" s="4">
        <f>HUNGARY2009ttl!AL45/HUNGARY2009ttl!$BE$38</f>
        <v>4.4406512955233431E-3</v>
      </c>
      <c r="AM49" s="4">
        <f>HUNGARY2009ttl!AM45/HUNGARY2009ttl!$BE$39</f>
        <v>6.0986035907666025E-3</v>
      </c>
      <c r="AN49" s="4">
        <f>HUNGARY2009ttl!AN45/HUNGARY2009ttl!$BE$40</f>
        <v>6.254439880161845E-3</v>
      </c>
      <c r="AO49" s="4">
        <f>HUNGARY2009ttl!AO45/HUNGARY2009ttl!$BE$41</f>
        <v>2.9955575590568358E-3</v>
      </c>
      <c r="AP49" s="4">
        <f>HUNGARY2009ttl!AP45/HUNGARY2009ttl!$BE$42</f>
        <v>2.9561527581329558E-3</v>
      </c>
      <c r="AQ49" s="4">
        <f>HUNGARY2009ttl!AQ45/HUNGARY2009ttl!$BE$43</f>
        <v>3.4494825776133584E-3</v>
      </c>
      <c r="AR49" s="4">
        <f>HUNGARY2009ttl!AR45/HUNGARY2009ttl!$BE$44</f>
        <v>8.9992934439031627E-3</v>
      </c>
      <c r="AS49" s="4">
        <f>HUNGARY2009ttl!AS45/HUNGARY2009ttl!$BE$45</f>
        <v>4.2548298068077273E-3</v>
      </c>
      <c r="AT49" s="4">
        <f>HUNGARY2009ttl!AT45/HUNGARY2009ttl!$BE$46</f>
        <v>0</v>
      </c>
    </row>
    <row r="50" spans="1:46" x14ac:dyDescent="0.3">
      <c r="A50" s="14" t="s">
        <v>98</v>
      </c>
      <c r="B50" s="4">
        <f>HUNGARY2009ttl!B46/HUNGARY2009ttl!$BE$2</f>
        <v>0</v>
      </c>
      <c r="C50" s="4">
        <f>HUNGARY2009ttl!C46/HUNGARY2009ttl!$BE$3</f>
        <v>0</v>
      </c>
      <c r="D50" s="4">
        <f>HUNGARY2009ttl!D46/HUNGARY2009ttl!$BE$4</f>
        <v>0</v>
      </c>
      <c r="E50" s="4">
        <f>HUNGARY2009ttl!E46/HUNGARY2009ttl!$BE$5</f>
        <v>0</v>
      </c>
      <c r="F50" s="4">
        <f>HUNGARY2009ttl!F46/HUNGARY2009ttl!$BE$6</f>
        <v>0</v>
      </c>
      <c r="G50" s="4">
        <f>HUNGARY2009ttl!G46/HUNGARY2009ttl!$BE$7</f>
        <v>0</v>
      </c>
      <c r="H50" s="4">
        <f>HUNGARY2009ttl!H46/HUNGARY2009ttl!$BE$8</f>
        <v>0</v>
      </c>
      <c r="I50" s="4">
        <f>HUNGARY2009ttl!I46/HUNGARY2009ttl!$BE$9</f>
        <v>0</v>
      </c>
      <c r="J50" s="4">
        <f>HUNGARY2009ttl!J46/HUNGARY2009ttl!$BE$10</f>
        <v>0</v>
      </c>
      <c r="K50" s="4">
        <f>HUNGARY2009ttl!K46/HUNGARY2009ttl!$BE$11</f>
        <v>0</v>
      </c>
      <c r="L50" s="4">
        <f>HUNGARY2009ttl!L46/HUNGARY2009ttl!$BE$12</f>
        <v>0</v>
      </c>
      <c r="M50" s="4">
        <f>HUNGARY2009ttl!M46/HUNGARY2009ttl!$BE$13</f>
        <v>0</v>
      </c>
      <c r="N50" s="4">
        <f>HUNGARY2009ttl!N46/HUNGARY2009ttl!$BE$14</f>
        <v>0</v>
      </c>
      <c r="O50" s="4">
        <f>HUNGARY2009ttl!O46/HUNGARY2009ttl!$BE$15</f>
        <v>0</v>
      </c>
      <c r="P50" s="4">
        <f>HUNGARY2009ttl!P46/HUNGARY2009ttl!$BE$16</f>
        <v>0</v>
      </c>
      <c r="Q50" s="4">
        <f>HUNGARY2009ttl!Q46/HUNGARY2009ttl!$BE$17</f>
        <v>0</v>
      </c>
      <c r="R50" s="4">
        <f>HUNGARY2009ttl!R46/HUNGARY2009ttl!$BE$18</f>
        <v>0</v>
      </c>
      <c r="S50" s="4">
        <f>HUNGARY2009ttl!S46/HUNGARY2009ttl!$BE$19</f>
        <v>0</v>
      </c>
      <c r="T50" s="4">
        <f>HUNGARY2009ttl!T46/HUNGARY2009ttl!$BE$20</f>
        <v>0</v>
      </c>
      <c r="U50" s="4">
        <f>HUNGARY2009ttl!U46/HUNGARY2009ttl!$BE$21</f>
        <v>0</v>
      </c>
      <c r="V50" s="4">
        <f>HUNGARY2009ttl!V46/HUNGARY2009ttl!$BE$22</f>
        <v>0</v>
      </c>
      <c r="W50" s="4">
        <f>HUNGARY2009ttl!W46/HUNGARY2009ttl!$BE$23</f>
        <v>0</v>
      </c>
      <c r="X50" s="4">
        <f>HUNGARY2009ttl!X46/HUNGARY2009ttl!$BE$24</f>
        <v>0</v>
      </c>
      <c r="Y50" s="4">
        <f>HUNGARY2009ttl!Y46/HUNGARY2009ttl!$BE$25</f>
        <v>0</v>
      </c>
      <c r="Z50" s="4">
        <f>HUNGARY2009ttl!Z46/HUNGARY2009ttl!$BE$26</f>
        <v>0</v>
      </c>
      <c r="AA50" s="4">
        <f>HUNGARY2009ttl!AA46/HUNGARY2009ttl!$BE$27</f>
        <v>0</v>
      </c>
      <c r="AB50" s="4">
        <f>HUNGARY2009ttl!AB46/HUNGARY2009ttl!$BE$28</f>
        <v>0</v>
      </c>
      <c r="AC50" s="4">
        <f>HUNGARY2009ttl!AC46/HUNGARY2009ttl!$BE$29</f>
        <v>0</v>
      </c>
      <c r="AD50" s="4">
        <f>HUNGARY2009ttl!AD46/HUNGARY2009ttl!$BE$30</f>
        <v>0</v>
      </c>
      <c r="AE50" s="4">
        <f>HUNGARY2009ttl!AE46/HUNGARY2009ttl!$BE$31</f>
        <v>0</v>
      </c>
      <c r="AF50" s="4">
        <f>HUNGARY2009ttl!AF46/HUNGARY2009ttl!$BE$32</f>
        <v>0</v>
      </c>
      <c r="AG50" s="4">
        <f>HUNGARY2009ttl!AG46/HUNGARY2009ttl!$BE$33</f>
        <v>0</v>
      </c>
      <c r="AH50" s="4">
        <f>HUNGARY2009ttl!AH46/HUNGARY2009ttl!$BE$34</f>
        <v>0</v>
      </c>
      <c r="AI50" s="4">
        <f>HUNGARY2009ttl!AI46/HUNGARY2009ttl!$BE$35</f>
        <v>0</v>
      </c>
      <c r="AJ50" s="4">
        <f>HUNGARY2009ttl!AJ46/HUNGARY2009ttl!$BE$36</f>
        <v>0</v>
      </c>
      <c r="AK50" s="4">
        <f>HUNGARY2009ttl!AK46/HUNGARY2009ttl!$BE$37</f>
        <v>0</v>
      </c>
      <c r="AL50" s="4">
        <f>HUNGARY2009ttl!AL46/HUNGARY2009ttl!$BE$38</f>
        <v>0</v>
      </c>
      <c r="AM50" s="4">
        <f>HUNGARY2009ttl!AM46/HUNGARY2009ttl!$BE$39</f>
        <v>0</v>
      </c>
      <c r="AN50" s="4">
        <f>HUNGARY2009ttl!AN46/HUNGARY2009ttl!$BE$40</f>
        <v>0</v>
      </c>
      <c r="AO50" s="4">
        <f>HUNGARY2009ttl!AO46/HUNGARY2009ttl!$BE$41</f>
        <v>0</v>
      </c>
      <c r="AP50" s="4">
        <f>HUNGARY2009ttl!AP46/HUNGARY2009ttl!$BE$42</f>
        <v>0</v>
      </c>
      <c r="AQ50" s="4">
        <f>HUNGARY2009ttl!AQ46/HUNGARY2009ttl!$BE$43</f>
        <v>0</v>
      </c>
      <c r="AR50" s="4">
        <f>HUNGARY2009ttl!AR46/HUNGARY2009ttl!$BE$44</f>
        <v>0</v>
      </c>
      <c r="AS50" s="4">
        <f>HUNGARY2009ttl!AS46/HUNGARY2009ttl!$BE$45</f>
        <v>0</v>
      </c>
      <c r="AT50" s="4">
        <f>HUNGARY2009ttl!AT46/HUNGARY2009ttl!$BE$46</f>
        <v>0</v>
      </c>
    </row>
    <row r="53" spans="1:46" x14ac:dyDescent="0.3">
      <c r="B53" s="64" t="s">
        <v>119</v>
      </c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</row>
    <row r="54" spans="1:46" x14ac:dyDescent="0.3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</row>
    <row r="57" spans="1:46" x14ac:dyDescent="0.3">
      <c r="B57" s="15">
        <v>1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</row>
    <row r="58" spans="1:46" x14ac:dyDescent="0.3">
      <c r="B58" s="15">
        <v>0</v>
      </c>
      <c r="C58" s="15">
        <v>1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</row>
    <row r="59" spans="1:46" x14ac:dyDescent="0.3">
      <c r="B59" s="15">
        <v>0</v>
      </c>
      <c r="C59" s="15">
        <v>0</v>
      </c>
      <c r="D59" s="15">
        <v>1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</row>
    <row r="60" spans="1:46" x14ac:dyDescent="0.3">
      <c r="B60" s="15">
        <v>0</v>
      </c>
      <c r="C60" s="15">
        <v>0</v>
      </c>
      <c r="D60" s="15">
        <v>0</v>
      </c>
      <c r="E60" s="15">
        <v>1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</row>
    <row r="61" spans="1:46" x14ac:dyDescent="0.3">
      <c r="B61" s="15">
        <v>0</v>
      </c>
      <c r="C61" s="15">
        <v>0</v>
      </c>
      <c r="D61" s="15">
        <v>0</v>
      </c>
      <c r="E61" s="15">
        <v>0</v>
      </c>
      <c r="F61" s="15">
        <v>1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</row>
    <row r="62" spans="1:46" x14ac:dyDescent="0.3"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1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</row>
    <row r="63" spans="1:46" x14ac:dyDescent="0.3"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1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</row>
    <row r="64" spans="1:46" x14ac:dyDescent="0.3"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</row>
    <row r="65" spans="2:46" x14ac:dyDescent="0.3"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1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</row>
    <row r="66" spans="2:46" x14ac:dyDescent="0.3"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1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</row>
    <row r="67" spans="2:46" x14ac:dyDescent="0.3"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1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</row>
    <row r="68" spans="2:46" x14ac:dyDescent="0.3"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1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</row>
    <row r="69" spans="2:46" x14ac:dyDescent="0.3"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1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</row>
    <row r="70" spans="2:46" x14ac:dyDescent="0.3"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</row>
    <row r="71" spans="2:46" x14ac:dyDescent="0.3"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1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</row>
    <row r="72" spans="2:46" x14ac:dyDescent="0.3"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</row>
    <row r="73" spans="2:46" x14ac:dyDescent="0.3"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1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</row>
    <row r="74" spans="2:46" x14ac:dyDescent="0.3"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1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</row>
    <row r="75" spans="2:46" x14ac:dyDescent="0.3"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1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</row>
    <row r="76" spans="2:46" x14ac:dyDescent="0.3"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1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</row>
    <row r="77" spans="2:46" x14ac:dyDescent="0.3"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1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</row>
    <row r="78" spans="2:46" x14ac:dyDescent="0.3"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1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</row>
    <row r="79" spans="2:46" x14ac:dyDescent="0.3"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1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</row>
    <row r="80" spans="2:46" x14ac:dyDescent="0.3"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1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</row>
    <row r="81" spans="2:46" x14ac:dyDescent="0.3"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1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</row>
    <row r="82" spans="2:46" x14ac:dyDescent="0.3"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1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</row>
    <row r="83" spans="2:46" x14ac:dyDescent="0.3"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1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</row>
    <row r="84" spans="2:46" x14ac:dyDescent="0.3"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1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</row>
    <row r="85" spans="2:46" x14ac:dyDescent="0.3"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1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</row>
    <row r="86" spans="2:46" x14ac:dyDescent="0.3"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1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</row>
    <row r="87" spans="2:46" x14ac:dyDescent="0.3"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1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</row>
    <row r="88" spans="2:46" x14ac:dyDescent="0.3"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1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</row>
    <row r="89" spans="2:46" x14ac:dyDescent="0.3"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1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</row>
    <row r="90" spans="2:46" x14ac:dyDescent="0.3"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1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</row>
    <row r="91" spans="2:46" x14ac:dyDescent="0.3"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1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</row>
    <row r="92" spans="2:46" x14ac:dyDescent="0.3"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1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</row>
    <row r="93" spans="2:46" x14ac:dyDescent="0.3"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1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</row>
    <row r="94" spans="2:46" x14ac:dyDescent="0.3"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1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</row>
    <row r="95" spans="2:46" x14ac:dyDescent="0.3"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1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</row>
    <row r="96" spans="2:46" x14ac:dyDescent="0.3"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1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</row>
    <row r="97" spans="2:46" x14ac:dyDescent="0.3"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1</v>
      </c>
      <c r="AQ97" s="15">
        <v>0</v>
      </c>
      <c r="AR97" s="15">
        <v>0</v>
      </c>
      <c r="AS97" s="15">
        <v>0</v>
      </c>
      <c r="AT97" s="15">
        <v>0</v>
      </c>
    </row>
    <row r="98" spans="2:46" x14ac:dyDescent="0.3"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1</v>
      </c>
      <c r="AR98" s="15">
        <v>0</v>
      </c>
      <c r="AS98" s="15">
        <v>0</v>
      </c>
      <c r="AT98" s="15">
        <v>0</v>
      </c>
    </row>
    <row r="99" spans="2:46" x14ac:dyDescent="0.3"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1</v>
      </c>
      <c r="AS99" s="15">
        <v>0</v>
      </c>
      <c r="AT99" s="15">
        <v>0</v>
      </c>
    </row>
    <row r="100" spans="2:46" x14ac:dyDescent="0.3">
      <c r="B100" s="15">
        <v>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</v>
      </c>
      <c r="AT100" s="15">
        <v>0</v>
      </c>
    </row>
    <row r="101" spans="2:46" x14ac:dyDescent="0.3"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1</v>
      </c>
    </row>
    <row r="104" spans="2:46" ht="15" customHeight="1" x14ac:dyDescent="0.3">
      <c r="B104" s="66" t="s">
        <v>120</v>
      </c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</row>
    <row r="105" spans="2:46" x14ac:dyDescent="0.3"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</row>
    <row r="108" spans="2:46" x14ac:dyDescent="0.3">
      <c r="B108" s="16">
        <f t="shared" ref="B108:AT108" si="0">B57-B6</f>
        <v>0.78616519118120987</v>
      </c>
      <c r="C108" s="16">
        <f t="shared" si="0"/>
        <v>-8.0338266384778007E-2</v>
      </c>
      <c r="D108" s="16">
        <f t="shared" si="0"/>
        <v>-9.398496240601577E-4</v>
      </c>
      <c r="E108" s="16">
        <f t="shared" si="0"/>
        <v>-1.5427337241592097E-3</v>
      </c>
      <c r="F108" s="16">
        <f t="shared" si="0"/>
        <v>-1.1691348402182386E-3</v>
      </c>
      <c r="G108" s="16">
        <f t="shared" si="0"/>
        <v>-0.24610996904226012</v>
      </c>
      <c r="H108" s="16">
        <f t="shared" si="0"/>
        <v>-6.650506557275157E-3</v>
      </c>
      <c r="I108" s="16">
        <f t="shared" si="0"/>
        <v>-7.3006254886630179E-2</v>
      </c>
      <c r="J108" s="16">
        <f t="shared" si="0"/>
        <v>-3.8339920948616607E-3</v>
      </c>
      <c r="K108" s="16">
        <f t="shared" si="0"/>
        <v>-2.0133342134794376E-3</v>
      </c>
      <c r="L108" s="16">
        <f t="shared" si="0"/>
        <v>-3.5576717312219147E-3</v>
      </c>
      <c r="M108" s="16">
        <f t="shared" si="0"/>
        <v>-6.4046666867125721E-3</v>
      </c>
      <c r="N108" s="16">
        <f t="shared" si="0"/>
        <v>-8.2167064904666697E-3</v>
      </c>
      <c r="O108" s="16">
        <f t="shared" si="0"/>
        <v>-2.6768209923088526E-3</v>
      </c>
      <c r="P108" s="16">
        <f t="shared" si="0"/>
        <v>-1.9583949865088338E-3</v>
      </c>
      <c r="Q108" s="16">
        <f t="shared" si="0"/>
        <v>-1.7368330927860268E-3</v>
      </c>
      <c r="R108" s="16">
        <f t="shared" si="0"/>
        <v>-8.3195989742671634E-4</v>
      </c>
      <c r="S108" s="16">
        <f t="shared" si="0"/>
        <v>-1.3323320655991865E-3</v>
      </c>
      <c r="T108" s="16">
        <f t="shared" si="0"/>
        <v>-1.9137437420579627E-3</v>
      </c>
      <c r="U108" s="16">
        <f t="shared" si="0"/>
        <v>-1.4277106855630946E-3</v>
      </c>
      <c r="V108" s="16">
        <f t="shared" si="0"/>
        <v>-1.4568158168574402E-3</v>
      </c>
      <c r="W108" s="16">
        <f t="shared" si="0"/>
        <v>-4.9718481446116352E-3</v>
      </c>
      <c r="X108" s="16">
        <f t="shared" si="0"/>
        <v>-1.0479318106342946E-2</v>
      </c>
      <c r="Y108" s="16">
        <f t="shared" si="0"/>
        <v>-3.2275811479919318E-3</v>
      </c>
      <c r="Z108" s="16">
        <f t="shared" si="0"/>
        <v>-2.5839793281653744E-3</v>
      </c>
      <c r="AA108" s="16">
        <f t="shared" si="0"/>
        <v>-1.3018965455062729E-2</v>
      </c>
      <c r="AB108" s="16">
        <f t="shared" si="0"/>
        <v>-1.7179069530693267E-3</v>
      </c>
      <c r="AC108" s="16">
        <f t="shared" si="0"/>
        <v>-2.8555111364934318E-3</v>
      </c>
      <c r="AD108" s="16">
        <f t="shared" si="0"/>
        <v>-2.9282576866764272E-3</v>
      </c>
      <c r="AE108" s="16">
        <f t="shared" si="0"/>
        <v>-3.2386003614090259E-3</v>
      </c>
      <c r="AF108" s="16">
        <f t="shared" si="0"/>
        <v>-5.0469365095387106E-4</v>
      </c>
      <c r="AG108" s="16">
        <f t="shared" si="0"/>
        <v>-1.7644553887171129E-2</v>
      </c>
      <c r="AH108" s="16">
        <f t="shared" si="0"/>
        <v>-2.4122219244170464E-3</v>
      </c>
      <c r="AI108" s="16">
        <f t="shared" si="0"/>
        <v>-1.26950420090481E-3</v>
      </c>
      <c r="AJ108" s="16">
        <f t="shared" si="0"/>
        <v>-7.3440103945993259E-4</v>
      </c>
      <c r="AK108" s="16">
        <f t="shared" si="0"/>
        <v>-5.9087915068386989E-4</v>
      </c>
      <c r="AL108" s="16">
        <f t="shared" si="0"/>
        <v>-1.0734907786475352E-3</v>
      </c>
      <c r="AM108" s="16">
        <f t="shared" si="0"/>
        <v>-1.9378740381875183E-3</v>
      </c>
      <c r="AN108" s="16">
        <f t="shared" si="0"/>
        <v>-3.0731692250671782E-3</v>
      </c>
      <c r="AO108" s="16">
        <f t="shared" si="0"/>
        <v>-8.5068018060594592E-4</v>
      </c>
      <c r="AP108" s="16">
        <f t="shared" si="0"/>
        <v>-6.6478076379066484E-4</v>
      </c>
      <c r="AQ108" s="16">
        <f t="shared" si="0"/>
        <v>-3.1245313203019549E-3</v>
      </c>
      <c r="AR108" s="16">
        <f t="shared" si="0"/>
        <v>-1.7106094976014276E-3</v>
      </c>
      <c r="AS108" s="16">
        <f t="shared" si="0"/>
        <v>-3.852345906163753E-3</v>
      </c>
      <c r="AT108" s="16">
        <f t="shared" si="0"/>
        <v>0</v>
      </c>
    </row>
    <row r="109" spans="2:46" x14ac:dyDescent="0.3">
      <c r="B109" s="16">
        <f t="shared" ref="B109:AT109" si="1">B58-B7</f>
        <v>-1.3269890618187332E-4</v>
      </c>
      <c r="C109" s="16">
        <f t="shared" si="1"/>
        <v>0.88794926004228336</v>
      </c>
      <c r="D109" s="16">
        <f t="shared" si="1"/>
        <v>0</v>
      </c>
      <c r="E109" s="16">
        <f t="shared" si="1"/>
        <v>0</v>
      </c>
      <c r="F109" s="16">
        <f t="shared" si="1"/>
        <v>0</v>
      </c>
      <c r="G109" s="16">
        <f t="shared" si="1"/>
        <v>-1.8688399379220119E-4</v>
      </c>
      <c r="H109" s="16">
        <f t="shared" si="1"/>
        <v>0</v>
      </c>
      <c r="I109" s="16">
        <f t="shared" si="1"/>
        <v>0</v>
      </c>
      <c r="J109" s="16">
        <f t="shared" si="1"/>
        <v>0</v>
      </c>
      <c r="K109" s="16">
        <f t="shared" si="1"/>
        <v>-1.6502739454749489E-5</v>
      </c>
      <c r="L109" s="16">
        <f t="shared" si="1"/>
        <v>0</v>
      </c>
      <c r="M109" s="16">
        <f t="shared" si="1"/>
        <v>0</v>
      </c>
      <c r="N109" s="16">
        <f t="shared" si="1"/>
        <v>0</v>
      </c>
      <c r="O109" s="16">
        <f t="shared" si="1"/>
        <v>0</v>
      </c>
      <c r="P109" s="16">
        <f t="shared" si="1"/>
        <v>0</v>
      </c>
      <c r="Q109" s="16">
        <f t="shared" si="1"/>
        <v>0</v>
      </c>
      <c r="R109" s="16">
        <f t="shared" si="1"/>
        <v>-5.2655689710551666E-6</v>
      </c>
      <c r="S109" s="16">
        <f t="shared" si="1"/>
        <v>0</v>
      </c>
      <c r="T109" s="16">
        <f t="shared" si="1"/>
        <v>0</v>
      </c>
      <c r="U109" s="16">
        <f t="shared" si="1"/>
        <v>-6.5491315851518097E-6</v>
      </c>
      <c r="V109" s="16">
        <f t="shared" si="1"/>
        <v>0</v>
      </c>
      <c r="W109" s="16">
        <f t="shared" si="1"/>
        <v>0</v>
      </c>
      <c r="X109" s="16">
        <f t="shared" si="1"/>
        <v>0</v>
      </c>
      <c r="Y109" s="16">
        <f t="shared" si="1"/>
        <v>0</v>
      </c>
      <c r="Z109" s="16">
        <f t="shared" si="1"/>
        <v>-6.9837279139604715E-6</v>
      </c>
      <c r="AA109" s="16">
        <f t="shared" si="1"/>
        <v>-1.2021205406336777E-5</v>
      </c>
      <c r="AB109" s="16">
        <f t="shared" si="1"/>
        <v>0</v>
      </c>
      <c r="AC109" s="16">
        <f t="shared" si="1"/>
        <v>0</v>
      </c>
      <c r="AD109" s="16">
        <f t="shared" si="1"/>
        <v>0</v>
      </c>
      <c r="AE109" s="16">
        <f t="shared" si="1"/>
        <v>0</v>
      </c>
      <c r="AF109" s="16">
        <f t="shared" si="1"/>
        <v>0</v>
      </c>
      <c r="AG109" s="16">
        <f t="shared" si="1"/>
        <v>-1.8885041935901943E-3</v>
      </c>
      <c r="AH109" s="16">
        <f t="shared" si="1"/>
        <v>0</v>
      </c>
      <c r="AI109" s="16">
        <f t="shared" si="1"/>
        <v>0</v>
      </c>
      <c r="AJ109" s="16">
        <f t="shared" si="1"/>
        <v>0</v>
      </c>
      <c r="AK109" s="16">
        <f t="shared" si="1"/>
        <v>0</v>
      </c>
      <c r="AL109" s="16">
        <f t="shared" si="1"/>
        <v>0</v>
      </c>
      <c r="AM109" s="16">
        <f t="shared" si="1"/>
        <v>0</v>
      </c>
      <c r="AN109" s="16">
        <f t="shared" si="1"/>
        <v>-1.5443061432498385E-5</v>
      </c>
      <c r="AO109" s="16">
        <f t="shared" si="1"/>
        <v>0</v>
      </c>
      <c r="AP109" s="16">
        <f t="shared" si="1"/>
        <v>0</v>
      </c>
      <c r="AQ109" s="16">
        <f t="shared" si="1"/>
        <v>-1.249812528120782E-5</v>
      </c>
      <c r="AR109" s="16">
        <f t="shared" si="1"/>
        <v>-1.1156148897400615E-4</v>
      </c>
      <c r="AS109" s="16">
        <f t="shared" si="1"/>
        <v>0</v>
      </c>
      <c r="AT109" s="16">
        <f t="shared" si="1"/>
        <v>0</v>
      </c>
    </row>
    <row r="110" spans="2:46" x14ac:dyDescent="0.3">
      <c r="B110" s="16">
        <f t="shared" ref="B110:AT110" si="2">B59-B8</f>
        <v>-3.2700801880533067E-3</v>
      </c>
      <c r="C110" s="16">
        <f t="shared" si="2"/>
        <v>-2.1141649048625794E-3</v>
      </c>
      <c r="D110" s="16">
        <f t="shared" si="2"/>
        <v>0.97932330827067648</v>
      </c>
      <c r="E110" s="16">
        <f t="shared" si="2"/>
        <v>-2.3141005862388146E-2</v>
      </c>
      <c r="F110" s="16">
        <f t="shared" si="2"/>
        <v>-3.1176929072486365E-3</v>
      </c>
      <c r="G110" s="16">
        <f t="shared" si="2"/>
        <v>-3.5751720551551536E-3</v>
      </c>
      <c r="H110" s="16">
        <f t="shared" si="2"/>
        <v>-1.1187768040275966E-3</v>
      </c>
      <c r="I110" s="16">
        <f t="shared" si="2"/>
        <v>-1.7591868647380765E-3</v>
      </c>
      <c r="J110" s="16">
        <f t="shared" si="2"/>
        <v>-3.9525691699604749E-3</v>
      </c>
      <c r="K110" s="16">
        <f t="shared" si="2"/>
        <v>-0.27983695293418709</v>
      </c>
      <c r="L110" s="16">
        <f t="shared" si="2"/>
        <v>-2.9103359726086034E-2</v>
      </c>
      <c r="M110" s="16">
        <f t="shared" si="2"/>
        <v>-3.5180563490392999E-3</v>
      </c>
      <c r="N110" s="16">
        <f t="shared" si="2"/>
        <v>-7.3145755108011885E-4</v>
      </c>
      <c r="O110" s="16">
        <f t="shared" si="2"/>
        <v>-1.8775448650278994E-2</v>
      </c>
      <c r="P110" s="16">
        <f t="shared" si="2"/>
        <v>-4.4303246583688734E-2</v>
      </c>
      <c r="Q110" s="16">
        <f t="shared" si="2"/>
        <v>-8.8064776535629529E-4</v>
      </c>
      <c r="R110" s="16">
        <f t="shared" si="2"/>
        <v>-1.6323263810271016E-4</v>
      </c>
      <c r="S110" s="16">
        <f t="shared" si="2"/>
        <v>-4.844843874906133E-4</v>
      </c>
      <c r="T110" s="16">
        <f t="shared" si="2"/>
        <v>-7.3487759695025766E-4</v>
      </c>
      <c r="U110" s="16">
        <f t="shared" si="2"/>
        <v>-4.9773400047153752E-4</v>
      </c>
      <c r="V110" s="16">
        <f t="shared" si="2"/>
        <v>-4.3704474505723203E-3</v>
      </c>
      <c r="W110" s="16">
        <f t="shared" si="2"/>
        <v>-3.292614665305719E-4</v>
      </c>
      <c r="X110" s="16">
        <f t="shared" si="2"/>
        <v>-0.10088188627725922</v>
      </c>
      <c r="Y110" s="16">
        <f t="shared" si="2"/>
        <v>-4.4746011369888143E-3</v>
      </c>
      <c r="Z110" s="16">
        <f t="shared" si="2"/>
        <v>-3.2753683916474608E-3</v>
      </c>
      <c r="AA110" s="16">
        <f t="shared" si="2"/>
        <v>-2.5004107245180495E-3</v>
      </c>
      <c r="AB110" s="16">
        <f t="shared" si="2"/>
        <v>-3.9320981370253479E-3</v>
      </c>
      <c r="AC110" s="16">
        <f t="shared" si="2"/>
        <v>-1.1422044545973729E-3</v>
      </c>
      <c r="AD110" s="16">
        <f t="shared" si="2"/>
        <v>-6.8900180862974765E-4</v>
      </c>
      <c r="AE110" s="16">
        <f t="shared" si="2"/>
        <v>-1.1921804228954964E-2</v>
      </c>
      <c r="AF110" s="16">
        <f t="shared" si="2"/>
        <v>-2.2206520641970331E-3</v>
      </c>
      <c r="AG110" s="16">
        <f t="shared" si="2"/>
        <v>-5.4618503638147785E-3</v>
      </c>
      <c r="AH110" s="16">
        <f t="shared" si="2"/>
        <v>-6.2539086929330843E-4</v>
      </c>
      <c r="AI110" s="16">
        <f t="shared" si="2"/>
        <v>-9.6943957160003683E-4</v>
      </c>
      <c r="AJ110" s="16">
        <f t="shared" si="2"/>
        <v>-3.3895432590458422E-4</v>
      </c>
      <c r="AK110" s="16">
        <f t="shared" si="2"/>
        <v>-4.5526754233019489E-4</v>
      </c>
      <c r="AL110" s="16">
        <f t="shared" si="2"/>
        <v>-1.8336022616650444E-3</v>
      </c>
      <c r="AM110" s="16">
        <f t="shared" si="2"/>
        <v>-2.7833190842595241E-3</v>
      </c>
      <c r="AN110" s="16">
        <f t="shared" si="2"/>
        <v>-2.1774716619822722E-3</v>
      </c>
      <c r="AO110" s="16">
        <f t="shared" si="2"/>
        <v>-3.2718468484844079E-3</v>
      </c>
      <c r="AP110" s="16">
        <f t="shared" si="2"/>
        <v>-6.9165487977369162E-3</v>
      </c>
      <c r="AQ110" s="16">
        <f t="shared" si="2"/>
        <v>-7.8988151777233413E-3</v>
      </c>
      <c r="AR110" s="16">
        <f t="shared" si="2"/>
        <v>-1.0226469822617231E-2</v>
      </c>
      <c r="AS110" s="16">
        <f t="shared" si="2"/>
        <v>-2.8748850045998155E-3</v>
      </c>
      <c r="AT110" s="16">
        <f t="shared" si="2"/>
        <v>0</v>
      </c>
    </row>
    <row r="111" spans="2:46" x14ac:dyDescent="0.3">
      <c r="B111" s="16">
        <f t="shared" ref="B111:AT111" si="3">B60-B9</f>
        <v>-1.355424541714849E-3</v>
      </c>
      <c r="C111" s="16">
        <f t="shared" si="3"/>
        <v>0</v>
      </c>
      <c r="D111" s="16">
        <f t="shared" si="3"/>
        <v>-4.135338345864694E-2</v>
      </c>
      <c r="E111" s="16">
        <f t="shared" si="3"/>
        <v>0.96390003085467446</v>
      </c>
      <c r="F111" s="16">
        <f t="shared" si="3"/>
        <v>-3.3515198752922838E-2</v>
      </c>
      <c r="G111" s="16">
        <f t="shared" si="3"/>
        <v>-4.1683256006695311E-3</v>
      </c>
      <c r="H111" s="16">
        <f t="shared" si="3"/>
        <v>-4.9723413512337629E-4</v>
      </c>
      <c r="I111" s="16">
        <f t="shared" si="3"/>
        <v>-1.1727912431587176E-3</v>
      </c>
      <c r="J111" s="16">
        <f t="shared" si="3"/>
        <v>-1.5019762845849805E-3</v>
      </c>
      <c r="K111" s="16">
        <f t="shared" si="3"/>
        <v>-9.9016436728496915E-5</v>
      </c>
      <c r="L111" s="16">
        <f t="shared" si="3"/>
        <v>-2.9156858549111929E-3</v>
      </c>
      <c r="M111" s="16">
        <f t="shared" si="3"/>
        <v>-5.7130829599783505E-4</v>
      </c>
      <c r="N111" s="16">
        <f t="shared" si="3"/>
        <v>-1.3410055103135513E-3</v>
      </c>
      <c r="O111" s="16">
        <f t="shared" si="3"/>
        <v>-3.5175689941185348E-2</v>
      </c>
      <c r="P111" s="16">
        <f t="shared" si="3"/>
        <v>-8.878057272173381E-3</v>
      </c>
      <c r="Q111" s="16">
        <f t="shared" si="3"/>
        <v>-4.5744758922674229E-3</v>
      </c>
      <c r="R111" s="16">
        <f t="shared" si="3"/>
        <v>-2.21153896784317E-4</v>
      </c>
      <c r="S111" s="16">
        <f t="shared" si="3"/>
        <v>-1.2596594074755945E-3</v>
      </c>
      <c r="T111" s="16">
        <f t="shared" si="3"/>
        <v>-1.1482462452347777E-3</v>
      </c>
      <c r="U111" s="16">
        <f t="shared" si="3"/>
        <v>-6.5491315851518093E-4</v>
      </c>
      <c r="V111" s="16">
        <f t="shared" si="3"/>
        <v>-8.3246618106139442E-4</v>
      </c>
      <c r="W111" s="16">
        <f t="shared" si="3"/>
        <v>-8.5607981297948694E-4</v>
      </c>
      <c r="X111" s="16">
        <f t="shared" si="3"/>
        <v>-1.9679470622240277E-4</v>
      </c>
      <c r="Y111" s="16">
        <f t="shared" si="3"/>
        <v>-1.7604988079955989E-3</v>
      </c>
      <c r="Z111" s="16">
        <f t="shared" si="3"/>
        <v>-8.6388714295691036E-3</v>
      </c>
      <c r="AA111" s="16">
        <f t="shared" si="3"/>
        <v>-1.0779014181015311E-3</v>
      </c>
      <c r="AB111" s="16">
        <f t="shared" si="3"/>
        <v>-1.0180189351521937E-4</v>
      </c>
      <c r="AC111" s="16">
        <f t="shared" si="3"/>
        <v>-5.7110222729868647E-4</v>
      </c>
      <c r="AD111" s="16">
        <f t="shared" si="3"/>
        <v>0</v>
      </c>
      <c r="AE111" s="16">
        <f t="shared" si="3"/>
        <v>-3.9895801553589444E-4</v>
      </c>
      <c r="AF111" s="16">
        <f t="shared" si="3"/>
        <v>0</v>
      </c>
      <c r="AG111" s="16">
        <f t="shared" si="3"/>
        <v>-5.5544240987946892E-5</v>
      </c>
      <c r="AH111" s="16">
        <f t="shared" si="3"/>
        <v>-1.1912207034158255E-4</v>
      </c>
      <c r="AI111" s="16">
        <f t="shared" si="3"/>
        <v>-4.6163789123811277E-5</v>
      </c>
      <c r="AJ111" s="16">
        <f t="shared" si="3"/>
        <v>-3.3895432590458422E-4</v>
      </c>
      <c r="AK111" s="16">
        <f t="shared" si="3"/>
        <v>-1.9373086907667869E-5</v>
      </c>
      <c r="AL111" s="16">
        <f t="shared" si="3"/>
        <v>-1.5135553214471456E-3</v>
      </c>
      <c r="AM111" s="16">
        <f t="shared" si="3"/>
        <v>-7.8844875083119634E-4</v>
      </c>
      <c r="AN111" s="16">
        <f t="shared" si="3"/>
        <v>-4.01519597244958E-4</v>
      </c>
      <c r="AO111" s="16">
        <f t="shared" si="3"/>
        <v>-1.0906156161614692E-4</v>
      </c>
      <c r="AP111" s="16">
        <f t="shared" si="3"/>
        <v>-2.4045261669024045E-4</v>
      </c>
      <c r="AQ111" s="16">
        <f t="shared" si="3"/>
        <v>-7.1239314102884569E-4</v>
      </c>
      <c r="AR111" s="16">
        <f t="shared" si="3"/>
        <v>-7.4374325982670773E-4</v>
      </c>
      <c r="AS111" s="16">
        <f t="shared" si="3"/>
        <v>-1.3799448022079113E-3</v>
      </c>
      <c r="AT111" s="16">
        <f t="shared" si="3"/>
        <v>0</v>
      </c>
    </row>
    <row r="112" spans="2:46" x14ac:dyDescent="0.3">
      <c r="B112" s="16">
        <f t="shared" ref="B112:AT112" si="4">B61-B10</f>
        <v>-4.7392466493526184E-5</v>
      </c>
      <c r="C112" s="16">
        <f t="shared" si="4"/>
        <v>0</v>
      </c>
      <c r="D112" s="16">
        <f t="shared" si="4"/>
        <v>-0.12875939849624157</v>
      </c>
      <c r="E112" s="16">
        <f t="shared" si="4"/>
        <v>-1.2341869793273679E-3</v>
      </c>
      <c r="F112" s="16">
        <f t="shared" si="4"/>
        <v>0.95206547155105226</v>
      </c>
      <c r="G112" s="16">
        <f t="shared" si="4"/>
        <v>-4.8752346206661182E-5</v>
      </c>
      <c r="H112" s="16">
        <f t="shared" si="4"/>
        <v>0</v>
      </c>
      <c r="I112" s="16">
        <f t="shared" si="4"/>
        <v>-2.9319781078967941E-4</v>
      </c>
      <c r="J112" s="16">
        <f t="shared" si="4"/>
        <v>-3.9525691699604751E-5</v>
      </c>
      <c r="K112" s="16">
        <f t="shared" si="4"/>
        <v>-1.2146016238695621E-2</v>
      </c>
      <c r="L112" s="16">
        <f t="shared" si="4"/>
        <v>-2.94243526642414E-4</v>
      </c>
      <c r="M112" s="16">
        <f t="shared" si="4"/>
        <v>-6.0137715368193167E-5</v>
      </c>
      <c r="N112" s="16">
        <f t="shared" si="4"/>
        <v>-2.9258302043204756E-4</v>
      </c>
      <c r="O112" s="16">
        <f t="shared" si="4"/>
        <v>-2.2621022470215656E-4</v>
      </c>
      <c r="P112" s="16">
        <f t="shared" si="4"/>
        <v>-1.4796762120288967E-3</v>
      </c>
      <c r="Q112" s="16">
        <f t="shared" si="4"/>
        <v>-2.446243792656376E-5</v>
      </c>
      <c r="R112" s="16">
        <f t="shared" si="4"/>
        <v>-2.6327844855275834E-5</v>
      </c>
      <c r="S112" s="16">
        <f t="shared" si="4"/>
        <v>-4.8448438749061335E-5</v>
      </c>
      <c r="T112" s="16">
        <f t="shared" si="4"/>
        <v>-1.0716964955524591E-4</v>
      </c>
      <c r="U112" s="16">
        <f t="shared" si="4"/>
        <v>-1.3753176328818801E-4</v>
      </c>
      <c r="V112" s="16">
        <f t="shared" si="4"/>
        <v>-2.081165452653486E-4</v>
      </c>
      <c r="W112" s="16">
        <f t="shared" si="4"/>
        <v>-3.6218761318362912E-4</v>
      </c>
      <c r="X112" s="16">
        <f t="shared" si="4"/>
        <v>-1.1192698916399155E-3</v>
      </c>
      <c r="Y112" s="16">
        <f t="shared" si="4"/>
        <v>-1.4670823399963326E-4</v>
      </c>
      <c r="Z112" s="16">
        <f t="shared" si="4"/>
        <v>-8.5899853341713797E-4</v>
      </c>
      <c r="AA112" s="16">
        <f t="shared" si="4"/>
        <v>-6.0106027031683888E-5</v>
      </c>
      <c r="AB112" s="16">
        <f t="shared" si="4"/>
        <v>-5.0900946757609685E-5</v>
      </c>
      <c r="AC112" s="16">
        <f t="shared" si="4"/>
        <v>0</v>
      </c>
      <c r="AD112" s="16">
        <f t="shared" si="4"/>
        <v>0</v>
      </c>
      <c r="AE112" s="16">
        <f t="shared" si="4"/>
        <v>-1.4080871136560981E-4</v>
      </c>
      <c r="AF112" s="16">
        <f t="shared" si="4"/>
        <v>0</v>
      </c>
      <c r="AG112" s="16">
        <f t="shared" si="4"/>
        <v>-5.5544240987946892E-5</v>
      </c>
      <c r="AH112" s="16">
        <f t="shared" si="4"/>
        <v>-2.9780517585395638E-5</v>
      </c>
      <c r="AI112" s="16">
        <f t="shared" si="4"/>
        <v>-2.3081894561905638E-5</v>
      </c>
      <c r="AJ112" s="16">
        <f t="shared" si="4"/>
        <v>-2.8246193825382021E-5</v>
      </c>
      <c r="AK112" s="16">
        <f t="shared" si="4"/>
        <v>-1.9373086907667869E-5</v>
      </c>
      <c r="AL112" s="16">
        <f t="shared" si="4"/>
        <v>-4.0005867527237331E-5</v>
      </c>
      <c r="AM112" s="16">
        <f t="shared" si="4"/>
        <v>-1.2349197302175362E-4</v>
      </c>
      <c r="AN112" s="16">
        <f t="shared" si="4"/>
        <v>-7.7215307162491919E-5</v>
      </c>
      <c r="AO112" s="16">
        <f t="shared" si="4"/>
        <v>-3.6353853872048977E-5</v>
      </c>
      <c r="AP112" s="16">
        <f t="shared" si="4"/>
        <v>-5.6577086280056583E-5</v>
      </c>
      <c r="AQ112" s="16">
        <f t="shared" si="4"/>
        <v>-1.4997750337449381E-4</v>
      </c>
      <c r="AR112" s="16">
        <f t="shared" si="4"/>
        <v>-1.4874865196534156E-4</v>
      </c>
      <c r="AS112" s="16">
        <f t="shared" si="4"/>
        <v>-5.7497700091996313E-5</v>
      </c>
      <c r="AT112" s="16">
        <f t="shared" si="4"/>
        <v>0</v>
      </c>
    </row>
    <row r="113" spans="2:46" x14ac:dyDescent="0.3">
      <c r="B113" s="16">
        <f t="shared" ref="B113:AT113" si="5">B62-B11</f>
        <v>-8.1524520862163746E-2</v>
      </c>
      <c r="C113" s="16">
        <f t="shared" si="5"/>
        <v>-5.0739957716701894E-2</v>
      </c>
      <c r="D113" s="16">
        <f t="shared" si="5"/>
        <v>-9.398496240601577E-4</v>
      </c>
      <c r="E113" s="16">
        <f t="shared" si="5"/>
        <v>-9.2564023449552579E-4</v>
      </c>
      <c r="F113" s="16">
        <f t="shared" si="5"/>
        <v>-1.1691348402182386E-3</v>
      </c>
      <c r="G113" s="16">
        <f t="shared" si="5"/>
        <v>0.89254982896051871</v>
      </c>
      <c r="H113" s="16">
        <f t="shared" si="5"/>
        <v>-2.361862141836037E-3</v>
      </c>
      <c r="I113" s="16">
        <f t="shared" si="5"/>
        <v>-1.7591868647380765E-3</v>
      </c>
      <c r="J113" s="16">
        <f t="shared" si="5"/>
        <v>-6.1660079051383413E-3</v>
      </c>
      <c r="K113" s="16">
        <f t="shared" si="5"/>
        <v>-5.0663410126080928E-3</v>
      </c>
      <c r="L113" s="16">
        <f t="shared" si="5"/>
        <v>-5.8848705328482798E-3</v>
      </c>
      <c r="M113" s="16">
        <f t="shared" si="5"/>
        <v>-5.4424632408214815E-3</v>
      </c>
      <c r="N113" s="16">
        <f t="shared" si="5"/>
        <v>-3.462232408445896E-3</v>
      </c>
      <c r="O113" s="16">
        <f t="shared" si="5"/>
        <v>-1.6588749811491483E-3</v>
      </c>
      <c r="P113" s="16">
        <f t="shared" si="5"/>
        <v>-1.3491165462616412E-3</v>
      </c>
      <c r="Q113" s="16">
        <f t="shared" si="5"/>
        <v>-1.2720467721813154E-3</v>
      </c>
      <c r="R113" s="16">
        <f t="shared" si="5"/>
        <v>-8.056320525714405E-4</v>
      </c>
      <c r="S113" s="16">
        <f t="shared" si="5"/>
        <v>-1.4050047237227784E-3</v>
      </c>
      <c r="T113" s="16">
        <f t="shared" si="5"/>
        <v>-1.0410765956795317E-3</v>
      </c>
      <c r="U113" s="16">
        <f t="shared" si="5"/>
        <v>-8.7758363241034244E-4</v>
      </c>
      <c r="V113" s="16">
        <f t="shared" si="5"/>
        <v>-1.0405827263267431E-3</v>
      </c>
      <c r="W113" s="16">
        <f t="shared" si="5"/>
        <v>-1.6133811859998025E-3</v>
      </c>
      <c r="X113" s="16">
        <f t="shared" si="5"/>
        <v>-2.5829305191690361E-3</v>
      </c>
      <c r="Y113" s="16">
        <f t="shared" si="5"/>
        <v>-2.6774252704933068E-3</v>
      </c>
      <c r="Z113" s="16">
        <f t="shared" si="5"/>
        <v>-1.124380194147636E-3</v>
      </c>
      <c r="AA113" s="16">
        <f t="shared" si="5"/>
        <v>-7.7416562816808839E-3</v>
      </c>
      <c r="AB113" s="16">
        <f t="shared" si="5"/>
        <v>-6.7443754453832823E-4</v>
      </c>
      <c r="AC113" s="16">
        <f t="shared" si="5"/>
        <v>-8.5665334094802963E-3</v>
      </c>
      <c r="AD113" s="16">
        <f t="shared" si="5"/>
        <v>-4.5646369821720776E-3</v>
      </c>
      <c r="AE113" s="16">
        <f t="shared" si="5"/>
        <v>-4.4589425265776435E-4</v>
      </c>
      <c r="AF113" s="16">
        <f t="shared" si="5"/>
        <v>-6.056323811446453E-4</v>
      </c>
      <c r="AG113" s="16">
        <f t="shared" si="5"/>
        <v>-0.21327137064672011</v>
      </c>
      <c r="AH113" s="16">
        <f t="shared" si="5"/>
        <v>-5.3604931653712152E-4</v>
      </c>
      <c r="AI113" s="16">
        <f t="shared" si="5"/>
        <v>-3.6931031299049021E-4</v>
      </c>
      <c r="AJ113" s="16">
        <f t="shared" si="5"/>
        <v>-5.3667768268225832E-4</v>
      </c>
      <c r="AK113" s="16">
        <f t="shared" si="5"/>
        <v>-4.2620791196869312E-4</v>
      </c>
      <c r="AL113" s="16">
        <f t="shared" si="5"/>
        <v>-8.2678792889623819E-4</v>
      </c>
      <c r="AM113" s="16">
        <f t="shared" si="5"/>
        <v>-2.4128431651942632E-3</v>
      </c>
      <c r="AN113" s="16">
        <f t="shared" si="5"/>
        <v>-6.3007690644593401E-3</v>
      </c>
      <c r="AO113" s="16">
        <f t="shared" si="5"/>
        <v>-1.9921911921882839E-3</v>
      </c>
      <c r="AP113" s="16">
        <f t="shared" si="5"/>
        <v>-7.4964639321074963E-4</v>
      </c>
      <c r="AQ113" s="16">
        <f t="shared" si="5"/>
        <v>-1.6010098485227216E-2</v>
      </c>
      <c r="AR113" s="16">
        <f t="shared" si="5"/>
        <v>-3.9418392770815512E-3</v>
      </c>
      <c r="AS113" s="16">
        <f t="shared" si="5"/>
        <v>-3.852345906163753E-3</v>
      </c>
      <c r="AT113" s="16">
        <f t="shared" si="5"/>
        <v>0</v>
      </c>
    </row>
    <row r="114" spans="2:46" x14ac:dyDescent="0.3">
      <c r="B114" s="16">
        <f t="shared" ref="B114:AT114" si="6">B63-B12</f>
        <v>-4.6444617163655667E-4</v>
      </c>
      <c r="C114" s="16">
        <f t="shared" si="6"/>
        <v>0</v>
      </c>
      <c r="D114" s="16">
        <f t="shared" si="6"/>
        <v>-9.398496240601577E-4</v>
      </c>
      <c r="E114" s="16">
        <f t="shared" si="6"/>
        <v>-6.1709348966368393E-4</v>
      </c>
      <c r="F114" s="16">
        <f t="shared" si="6"/>
        <v>-3.8971161340607956E-4</v>
      </c>
      <c r="G114" s="16">
        <f t="shared" si="6"/>
        <v>-7.8816293034102245E-4</v>
      </c>
      <c r="H114" s="16">
        <f t="shared" si="6"/>
        <v>0.80085772888308782</v>
      </c>
      <c r="I114" s="16">
        <f t="shared" si="6"/>
        <v>-1.0750586395621581E-3</v>
      </c>
      <c r="J114" s="16">
        <f t="shared" si="6"/>
        <v>-3.0830039525691706E-3</v>
      </c>
      <c r="K114" s="16">
        <f t="shared" si="6"/>
        <v>-2.3103835236649282E-4</v>
      </c>
      <c r="L114" s="16">
        <f t="shared" si="6"/>
        <v>-8.8273057992724183E-4</v>
      </c>
      <c r="M114" s="16">
        <f t="shared" si="6"/>
        <v>-9.9227230357518711E-4</v>
      </c>
      <c r="N114" s="16">
        <f t="shared" si="6"/>
        <v>-8.8750182864387756E-3</v>
      </c>
      <c r="O114" s="16">
        <f t="shared" si="6"/>
        <v>-1.3949630523299656E-3</v>
      </c>
      <c r="P114" s="16">
        <f t="shared" si="6"/>
        <v>-8.2687788319261871E-4</v>
      </c>
      <c r="Q114" s="16">
        <f t="shared" si="6"/>
        <v>-7.8279801365004032E-4</v>
      </c>
      <c r="R114" s="16">
        <f t="shared" si="6"/>
        <v>-1.1320973287768609E-3</v>
      </c>
      <c r="S114" s="16">
        <f t="shared" si="6"/>
        <v>-1.6714711368426159E-3</v>
      </c>
      <c r="T114" s="16">
        <f t="shared" si="6"/>
        <v>-1.745334292756862E-3</v>
      </c>
      <c r="U114" s="16">
        <f t="shared" si="6"/>
        <v>-5.029733057396589E-3</v>
      </c>
      <c r="V114" s="16">
        <f t="shared" si="6"/>
        <v>-1.2486992715920915E-3</v>
      </c>
      <c r="W114" s="16">
        <f t="shared" si="6"/>
        <v>-1.6561851766487765E-2</v>
      </c>
      <c r="X114" s="16">
        <f t="shared" si="6"/>
        <v>-3.3209106675030468E-4</v>
      </c>
      <c r="Y114" s="16">
        <f t="shared" si="6"/>
        <v>-1.2836970474967909E-3</v>
      </c>
      <c r="Z114" s="16">
        <f t="shared" si="6"/>
        <v>-1.0754940987499125E-3</v>
      </c>
      <c r="AA114" s="16">
        <f t="shared" si="6"/>
        <v>-1.2301700199151301E-3</v>
      </c>
      <c r="AB114" s="16">
        <f t="shared" si="6"/>
        <v>-4.4538328412908472E-4</v>
      </c>
      <c r="AC114" s="16">
        <f t="shared" si="6"/>
        <v>-5.7110222729868647E-4</v>
      </c>
      <c r="AD114" s="16">
        <f t="shared" si="6"/>
        <v>-3.4450090431487382E-4</v>
      </c>
      <c r="AE114" s="16">
        <f t="shared" si="6"/>
        <v>-4.4589425265776435E-4</v>
      </c>
      <c r="AF114" s="16">
        <f t="shared" si="6"/>
        <v>-1.1103260320985166E-3</v>
      </c>
      <c r="AG114" s="16">
        <f t="shared" si="6"/>
        <v>-9.9979633778304422E-4</v>
      </c>
      <c r="AH114" s="16">
        <f t="shared" si="6"/>
        <v>-2.6802465826856076E-4</v>
      </c>
      <c r="AI114" s="16">
        <f t="shared" si="6"/>
        <v>-3.4622841842858455E-4</v>
      </c>
      <c r="AJ114" s="16">
        <f t="shared" si="6"/>
        <v>-3.3895432590458422E-4</v>
      </c>
      <c r="AK114" s="16">
        <f t="shared" si="6"/>
        <v>-1.45298151807509E-4</v>
      </c>
      <c r="AL114" s="16">
        <f t="shared" si="6"/>
        <v>-2.200322713998053E-4</v>
      </c>
      <c r="AM114" s="16">
        <f t="shared" si="6"/>
        <v>-4.5597036192647494E-4</v>
      </c>
      <c r="AN114" s="16">
        <f t="shared" si="6"/>
        <v>-9.8835593167989665E-4</v>
      </c>
      <c r="AO114" s="16">
        <f t="shared" si="6"/>
        <v>-6.1074474505042281E-4</v>
      </c>
      <c r="AP114" s="16">
        <f t="shared" si="6"/>
        <v>-2.6874115983026872E-4</v>
      </c>
      <c r="AQ114" s="16">
        <f t="shared" si="6"/>
        <v>-1.8997150427435884E-3</v>
      </c>
      <c r="AR114" s="16">
        <f t="shared" si="6"/>
        <v>-3.2724703432375143E-3</v>
      </c>
      <c r="AS114" s="16">
        <f t="shared" si="6"/>
        <v>-6.583486660533577E-3</v>
      </c>
      <c r="AT114" s="16">
        <f t="shared" si="6"/>
        <v>0</v>
      </c>
    </row>
    <row r="115" spans="2:46" x14ac:dyDescent="0.3">
      <c r="B115" s="16">
        <f t="shared" ref="B115:AT115" si="7">B64-B13</f>
        <v>-2.037876059221626E-3</v>
      </c>
      <c r="C115" s="16">
        <f t="shared" si="7"/>
        <v>0</v>
      </c>
      <c r="D115" s="16">
        <f t="shared" si="7"/>
        <v>0</v>
      </c>
      <c r="E115" s="16">
        <f t="shared" si="7"/>
        <v>-3.0854674483184197E-4</v>
      </c>
      <c r="F115" s="16">
        <f t="shared" si="7"/>
        <v>-3.8971161340607956E-4</v>
      </c>
      <c r="G115" s="16">
        <f t="shared" si="7"/>
        <v>-1.5844512517164885E-3</v>
      </c>
      <c r="H115" s="16">
        <f t="shared" si="7"/>
        <v>-2.2997078749456153E-3</v>
      </c>
      <c r="I115" s="16">
        <f t="shared" si="7"/>
        <v>0.80746677091477714</v>
      </c>
      <c r="J115" s="16">
        <f t="shared" si="7"/>
        <v>-2.2924901185770756E-3</v>
      </c>
      <c r="K115" s="16">
        <f t="shared" si="7"/>
        <v>-2.4754109182124233E-4</v>
      </c>
      <c r="L115" s="16">
        <f t="shared" si="7"/>
        <v>-3.2099293815536071E-3</v>
      </c>
      <c r="M115" s="16">
        <f t="shared" si="7"/>
        <v>-4.8110172294554533E-4</v>
      </c>
      <c r="N115" s="16">
        <f t="shared" si="7"/>
        <v>-3.4134685717072213E-3</v>
      </c>
      <c r="O115" s="16">
        <f t="shared" si="7"/>
        <v>-7.8042527522244011E-3</v>
      </c>
      <c r="P115" s="16">
        <f t="shared" si="7"/>
        <v>-2.3935938723996862E-3</v>
      </c>
      <c r="Q115" s="16">
        <f t="shared" si="7"/>
        <v>-4.8680251473861872E-3</v>
      </c>
      <c r="R115" s="16">
        <f t="shared" si="7"/>
        <v>-7.6877306977405431E-4</v>
      </c>
      <c r="S115" s="16">
        <f t="shared" si="7"/>
        <v>-3.4156149318088237E-3</v>
      </c>
      <c r="T115" s="16">
        <f t="shared" si="7"/>
        <v>-2.3577322902154103E-3</v>
      </c>
      <c r="U115" s="16">
        <f t="shared" si="7"/>
        <v>-1.5455950540958271E-3</v>
      </c>
      <c r="V115" s="16">
        <f t="shared" si="7"/>
        <v>-3.3298647242455777E-3</v>
      </c>
      <c r="W115" s="16">
        <f t="shared" si="7"/>
        <v>-3.5757795265220105E-2</v>
      </c>
      <c r="X115" s="16">
        <f t="shared" si="7"/>
        <v>-1.8080513634183251E-3</v>
      </c>
      <c r="Y115" s="16">
        <f t="shared" si="7"/>
        <v>-8.4357234549789115E-4</v>
      </c>
      <c r="Z115" s="16">
        <f t="shared" si="7"/>
        <v>-2.0001396745582788E-2</v>
      </c>
      <c r="AA115" s="16">
        <f t="shared" si="7"/>
        <v>-2.3441350542356717E-3</v>
      </c>
      <c r="AB115" s="16">
        <f t="shared" si="7"/>
        <v>-1.030744171841596E-3</v>
      </c>
      <c r="AC115" s="16">
        <f t="shared" si="7"/>
        <v>-1.7133066818960591E-3</v>
      </c>
      <c r="AD115" s="16">
        <f t="shared" si="7"/>
        <v>-4.3062613039359222E-4</v>
      </c>
      <c r="AE115" s="16">
        <f t="shared" si="7"/>
        <v>-3.7548989697495949E-4</v>
      </c>
      <c r="AF115" s="16">
        <f t="shared" si="7"/>
        <v>-2.0187746038154844E-4</v>
      </c>
      <c r="AG115" s="16">
        <f t="shared" si="7"/>
        <v>-5.3692766288348669E-4</v>
      </c>
      <c r="AH115" s="16">
        <f t="shared" si="7"/>
        <v>-1.786831055123738E-4</v>
      </c>
      <c r="AI115" s="16">
        <f t="shared" si="7"/>
        <v>-4.6163789123811275E-4</v>
      </c>
      <c r="AJ115" s="16">
        <f t="shared" si="7"/>
        <v>-8.4738581476146056E-5</v>
      </c>
      <c r="AK115" s="16">
        <f t="shared" si="7"/>
        <v>-7.7492347630671478E-5</v>
      </c>
      <c r="AL115" s="16">
        <f t="shared" si="7"/>
        <v>-4.3606395604688696E-3</v>
      </c>
      <c r="AM115" s="16">
        <f t="shared" si="7"/>
        <v>-1.3869098508596945E-3</v>
      </c>
      <c r="AN115" s="16">
        <f t="shared" si="7"/>
        <v>-1.2817740988973661E-3</v>
      </c>
      <c r="AO115" s="16">
        <f t="shared" si="7"/>
        <v>-1.8176926936024486E-4</v>
      </c>
      <c r="AP115" s="16">
        <f t="shared" si="7"/>
        <v>-8.4865629420084867E-5</v>
      </c>
      <c r="AQ115" s="16">
        <f t="shared" si="7"/>
        <v>-3.6244563315502676E-4</v>
      </c>
      <c r="AR115" s="16">
        <f t="shared" si="7"/>
        <v>-4.4624595589602461E-4</v>
      </c>
      <c r="AS115" s="16">
        <f t="shared" si="7"/>
        <v>-1.3511959521619135E-3</v>
      </c>
      <c r="AT115" s="16">
        <f t="shared" si="7"/>
        <v>0</v>
      </c>
    </row>
    <row r="116" spans="2:46" x14ac:dyDescent="0.3">
      <c r="B116" s="16">
        <f t="shared" ref="B116:AT116" si="8">B65-B14</f>
        <v>-2.2084889385983204E-3</v>
      </c>
      <c r="C116" s="16">
        <f t="shared" si="8"/>
        <v>-2.1141649048625794E-3</v>
      </c>
      <c r="D116" s="16">
        <f t="shared" si="8"/>
        <v>0</v>
      </c>
      <c r="E116" s="16">
        <f t="shared" si="8"/>
        <v>-1.2341869793273679E-3</v>
      </c>
      <c r="F116" s="16">
        <f t="shared" si="8"/>
        <v>-3.8971161340607956E-4</v>
      </c>
      <c r="G116" s="16">
        <f t="shared" si="8"/>
        <v>-1.9874706470248877E-2</v>
      </c>
      <c r="H116" s="16">
        <f t="shared" si="8"/>
        <v>-6.0289638883709367E-3</v>
      </c>
      <c r="I116" s="16">
        <f t="shared" si="8"/>
        <v>-2.1598905394839718E-2</v>
      </c>
      <c r="J116" s="16">
        <f t="shared" si="8"/>
        <v>0.68011857707509882</v>
      </c>
      <c r="K116" s="16">
        <f t="shared" si="8"/>
        <v>-4.290712258234867E-4</v>
      </c>
      <c r="L116" s="16">
        <f t="shared" si="8"/>
        <v>-1.0726514016691637E-2</v>
      </c>
      <c r="M116" s="16">
        <f t="shared" si="8"/>
        <v>-7.5472832787082424E-3</v>
      </c>
      <c r="N116" s="16">
        <f t="shared" si="8"/>
        <v>-1.1605793143804553E-2</v>
      </c>
      <c r="O116" s="16">
        <f t="shared" si="8"/>
        <v>-6.7863067410646972E-3</v>
      </c>
      <c r="P116" s="16">
        <f t="shared" si="8"/>
        <v>-1.6972756549743227E-3</v>
      </c>
      <c r="Q116" s="16">
        <f t="shared" si="8"/>
        <v>-2.9110301132610874E-3</v>
      </c>
      <c r="R116" s="16">
        <f t="shared" si="8"/>
        <v>-3.133013537777824E-3</v>
      </c>
      <c r="S116" s="16">
        <f t="shared" si="8"/>
        <v>-9.7139119691867972E-3</v>
      </c>
      <c r="T116" s="16">
        <f t="shared" si="8"/>
        <v>-2.4342820398977286E-3</v>
      </c>
      <c r="U116" s="16">
        <f t="shared" si="8"/>
        <v>-1.5586933172661306E-3</v>
      </c>
      <c r="V116" s="16">
        <f t="shared" si="8"/>
        <v>-2.2892819979188346E-3</v>
      </c>
      <c r="W116" s="16">
        <f t="shared" si="8"/>
        <v>-8.0339797833459542E-3</v>
      </c>
      <c r="X116" s="16">
        <f t="shared" si="8"/>
        <v>-1.5989569880570224E-3</v>
      </c>
      <c r="Y116" s="16">
        <f t="shared" si="8"/>
        <v>-1.3203741059966993E-3</v>
      </c>
      <c r="Z116" s="16">
        <f t="shared" si="8"/>
        <v>-1.0754940987499125E-3</v>
      </c>
      <c r="AA116" s="16">
        <f t="shared" si="8"/>
        <v>-1.398466895603845E-2</v>
      </c>
      <c r="AB116" s="16">
        <f t="shared" si="8"/>
        <v>-1.4252265092130709E-3</v>
      </c>
      <c r="AC116" s="16">
        <f t="shared" si="8"/>
        <v>-5.7110222729868647E-4</v>
      </c>
      <c r="AD116" s="16">
        <f t="shared" si="8"/>
        <v>-7.7512703470846605E-4</v>
      </c>
      <c r="AE116" s="16">
        <f t="shared" si="8"/>
        <v>-2.5814930417028463E-3</v>
      </c>
      <c r="AF116" s="16">
        <f t="shared" si="8"/>
        <v>-6.4600787322095501E-3</v>
      </c>
      <c r="AG116" s="16">
        <f t="shared" si="8"/>
        <v>-2.1291959045379645E-3</v>
      </c>
      <c r="AH116" s="16">
        <f t="shared" si="8"/>
        <v>-7.9454420917835569E-2</v>
      </c>
      <c r="AI116" s="16">
        <f t="shared" si="8"/>
        <v>-1.4079955682762438E-3</v>
      </c>
      <c r="AJ116" s="16">
        <f t="shared" si="8"/>
        <v>-3.3895432590458426E-3</v>
      </c>
      <c r="AK116" s="16">
        <f t="shared" si="8"/>
        <v>-8.0495176101359981E-3</v>
      </c>
      <c r="AL116" s="16">
        <f t="shared" si="8"/>
        <v>-3.8672338609662751E-3</v>
      </c>
      <c r="AM116" s="16">
        <f t="shared" si="8"/>
        <v>-5.3956492827966201E-3</v>
      </c>
      <c r="AN116" s="16">
        <f t="shared" si="8"/>
        <v>-6.0073508972418709E-3</v>
      </c>
      <c r="AO116" s="16">
        <f t="shared" si="8"/>
        <v>-5.4458073100329364E-3</v>
      </c>
      <c r="AP116" s="16">
        <f t="shared" si="8"/>
        <v>-3.4653465346534654E-3</v>
      </c>
      <c r="AQ116" s="16">
        <f t="shared" si="8"/>
        <v>-1.7122431635254712E-3</v>
      </c>
      <c r="AR116" s="16">
        <f t="shared" si="8"/>
        <v>-4.3137109069949046E-3</v>
      </c>
      <c r="AS116" s="16">
        <f t="shared" si="8"/>
        <v>-4.3123275068997231E-3</v>
      </c>
      <c r="AT116" s="16">
        <f t="shared" si="8"/>
        <v>0</v>
      </c>
    </row>
    <row r="117" spans="2:46" x14ac:dyDescent="0.3">
      <c r="B117" s="16">
        <f t="shared" ref="B117:AT117" si="9">B66-B15</f>
        <v>-2.3838410646243671E-2</v>
      </c>
      <c r="C117" s="16">
        <f t="shared" si="9"/>
        <v>-2.9598308668076105E-2</v>
      </c>
      <c r="D117" s="16">
        <f t="shared" si="9"/>
        <v>-2.2556390977443781E-2</v>
      </c>
      <c r="E117" s="16">
        <f t="shared" si="9"/>
        <v>-3.2705954952175244E-2</v>
      </c>
      <c r="F117" s="16">
        <f t="shared" si="9"/>
        <v>-3.0787217459080286E-2</v>
      </c>
      <c r="G117" s="16">
        <f t="shared" si="9"/>
        <v>-8.6779176247856905E-3</v>
      </c>
      <c r="H117" s="16">
        <f t="shared" si="9"/>
        <v>-5.2831126856858731E-3</v>
      </c>
      <c r="I117" s="16">
        <f t="shared" si="9"/>
        <v>-9.5777951524628618E-3</v>
      </c>
      <c r="J117" s="16">
        <f t="shared" si="9"/>
        <v>-6.4031620553359689E-3</v>
      </c>
      <c r="K117" s="16">
        <f t="shared" si="9"/>
        <v>0.91398772196184563</v>
      </c>
      <c r="L117" s="16">
        <f t="shared" si="9"/>
        <v>-0.14059490691204798</v>
      </c>
      <c r="M117" s="16">
        <f t="shared" si="9"/>
        <v>-9.4416213128063267E-3</v>
      </c>
      <c r="N117" s="16">
        <f t="shared" si="9"/>
        <v>-1.3727020041936898E-2</v>
      </c>
      <c r="O117" s="16">
        <f t="shared" si="9"/>
        <v>-2.5637158799577744E-2</v>
      </c>
      <c r="P117" s="16">
        <f t="shared" si="9"/>
        <v>-5.326834363304029E-2</v>
      </c>
      <c r="Q117" s="16">
        <f t="shared" si="9"/>
        <v>-4.8924875853127514E-3</v>
      </c>
      <c r="R117" s="16">
        <f t="shared" si="9"/>
        <v>-2.3800371749169353E-3</v>
      </c>
      <c r="S117" s="16">
        <f t="shared" si="9"/>
        <v>-5.5231220173929917E-3</v>
      </c>
      <c r="T117" s="16">
        <f t="shared" si="9"/>
        <v>-4.5776750310026464E-3</v>
      </c>
      <c r="U117" s="16">
        <f t="shared" si="9"/>
        <v>-2.7440861341786081E-3</v>
      </c>
      <c r="V117" s="16">
        <f t="shared" si="9"/>
        <v>-4.9947970863683661E-3</v>
      </c>
      <c r="W117" s="16">
        <f t="shared" si="9"/>
        <v>-5.334035757795264E-3</v>
      </c>
      <c r="X117" s="16">
        <f t="shared" si="9"/>
        <v>-2.2754387906965316E-2</v>
      </c>
      <c r="Y117" s="16">
        <f t="shared" si="9"/>
        <v>-1.844856042545388E-2</v>
      </c>
      <c r="Z117" s="16">
        <f t="shared" si="9"/>
        <v>-1.8297367134576435E-2</v>
      </c>
      <c r="AA117" s="16">
        <f t="shared" si="9"/>
        <v>-1.4409418213729017E-2</v>
      </c>
      <c r="AB117" s="16">
        <f t="shared" si="9"/>
        <v>-9.3072381146289296E-2</v>
      </c>
      <c r="AC117" s="16">
        <f t="shared" si="9"/>
        <v>-0.15248429468874927</v>
      </c>
      <c r="AD117" s="16">
        <f t="shared" si="9"/>
        <v>-0.1022306433554388</v>
      </c>
      <c r="AE117" s="16">
        <f t="shared" si="9"/>
        <v>-2.6143484076881555E-2</v>
      </c>
      <c r="AF117" s="16">
        <f t="shared" si="9"/>
        <v>-8.2769758756434855E-3</v>
      </c>
      <c r="AG117" s="16">
        <f t="shared" si="9"/>
        <v>-4.7953194719594153E-3</v>
      </c>
      <c r="AH117" s="16">
        <f t="shared" si="9"/>
        <v>-1.7570505375383426E-3</v>
      </c>
      <c r="AI117" s="16">
        <f t="shared" si="9"/>
        <v>-2.100452405133413E-3</v>
      </c>
      <c r="AJ117" s="16">
        <f t="shared" si="9"/>
        <v>-2.6551422195859099E-3</v>
      </c>
      <c r="AK117" s="16">
        <f t="shared" si="9"/>
        <v>-3.4484094695648804E-3</v>
      </c>
      <c r="AL117" s="16">
        <f t="shared" si="9"/>
        <v>-3.7938897704996736E-3</v>
      </c>
      <c r="AM117" s="16">
        <f t="shared" si="9"/>
        <v>-6.0606060606060623E-3</v>
      </c>
      <c r="AN117" s="16">
        <f t="shared" si="9"/>
        <v>-7.9377335763041682E-3</v>
      </c>
      <c r="AO117" s="16">
        <f t="shared" si="9"/>
        <v>-4.8350625649825132E-3</v>
      </c>
      <c r="AP117" s="16">
        <f t="shared" si="9"/>
        <v>-4.3281471004243286E-3</v>
      </c>
      <c r="AQ117" s="16">
        <f t="shared" si="9"/>
        <v>-7.2364145378193273E-3</v>
      </c>
      <c r="AR117" s="16">
        <f t="shared" si="9"/>
        <v>-8.664608976981146E-3</v>
      </c>
      <c r="AS117" s="16">
        <f t="shared" si="9"/>
        <v>-6.9859705611775517E-3</v>
      </c>
      <c r="AT117" s="16">
        <f t="shared" si="9"/>
        <v>0</v>
      </c>
    </row>
    <row r="118" spans="2:46" x14ac:dyDescent="0.3">
      <c r="B118" s="16">
        <f t="shared" ref="B118:AT118" si="10">B67-B16</f>
        <v>-4.9705218858410262E-2</v>
      </c>
      <c r="C118" s="16">
        <f t="shared" si="10"/>
        <v>-2.1141649048625794E-3</v>
      </c>
      <c r="D118" s="16">
        <f t="shared" si="10"/>
        <v>-4.699248120300788E-3</v>
      </c>
      <c r="E118" s="16">
        <f t="shared" si="10"/>
        <v>-1.2958963282937363E-2</v>
      </c>
      <c r="F118" s="16">
        <f t="shared" si="10"/>
        <v>-1.8706157443491817E-2</v>
      </c>
      <c r="G118" s="16">
        <f t="shared" si="10"/>
        <v>-2.3433627743335142E-2</v>
      </c>
      <c r="H118" s="16">
        <f t="shared" si="10"/>
        <v>-2.6415563428429364E-2</v>
      </c>
      <c r="I118" s="16">
        <f t="shared" si="10"/>
        <v>-2.9808444096950742E-2</v>
      </c>
      <c r="J118" s="16">
        <f t="shared" si="10"/>
        <v>-2.0513833992094863E-2</v>
      </c>
      <c r="K118" s="16">
        <f t="shared" si="10"/>
        <v>-3.5629414482804142E-2</v>
      </c>
      <c r="L118" s="16">
        <f t="shared" si="10"/>
        <v>0.82487160282473782</v>
      </c>
      <c r="M118" s="16">
        <f t="shared" si="10"/>
        <v>-7.5532970502450614E-2</v>
      </c>
      <c r="N118" s="16">
        <f t="shared" si="10"/>
        <v>-0.17394060564685226</v>
      </c>
      <c r="O118" s="16">
        <f t="shared" si="10"/>
        <v>-4.6523902880410202E-2</v>
      </c>
      <c r="P118" s="16">
        <f t="shared" si="10"/>
        <v>-1.0053094264078681E-2</v>
      </c>
      <c r="Q118" s="16">
        <f t="shared" si="10"/>
        <v>-1.0200836615377087E-2</v>
      </c>
      <c r="R118" s="16">
        <f t="shared" si="10"/>
        <v>-6.397666299832027E-3</v>
      </c>
      <c r="S118" s="16">
        <f t="shared" si="10"/>
        <v>-3.9703495554855757E-2</v>
      </c>
      <c r="T118" s="16">
        <f t="shared" si="10"/>
        <v>-7.2262963700108675E-3</v>
      </c>
      <c r="U118" s="16">
        <f t="shared" si="10"/>
        <v>-7.2433395331779008E-3</v>
      </c>
      <c r="V118" s="16">
        <f t="shared" si="10"/>
        <v>-8.1165452653485948E-3</v>
      </c>
      <c r="W118" s="16">
        <f t="shared" si="10"/>
        <v>-1.4685061407263507E-2</v>
      </c>
      <c r="X118" s="16">
        <f t="shared" si="10"/>
        <v>-5.8423428409775813E-3</v>
      </c>
      <c r="Y118" s="16">
        <f t="shared" si="10"/>
        <v>-9.3159728589767114E-3</v>
      </c>
      <c r="Z118" s="16">
        <f t="shared" si="10"/>
        <v>-1.082477826663873E-2</v>
      </c>
      <c r="AA118" s="16">
        <f t="shared" si="10"/>
        <v>-6.5195003987033118E-3</v>
      </c>
      <c r="AB118" s="16">
        <f t="shared" si="10"/>
        <v>-3.4103634327598488E-3</v>
      </c>
      <c r="AC118" s="16">
        <f t="shared" si="10"/>
        <v>-7.4243289548829236E-3</v>
      </c>
      <c r="AD118" s="16">
        <f t="shared" si="10"/>
        <v>-2.2392558780466795E-3</v>
      </c>
      <c r="AE118" s="16">
        <f t="shared" si="10"/>
        <v>-2.4641524488981715E-3</v>
      </c>
      <c r="AF118" s="16">
        <f t="shared" si="10"/>
        <v>-2.2206520641970331E-3</v>
      </c>
      <c r="AG118" s="16">
        <f t="shared" si="10"/>
        <v>-4.5175982670196809E-3</v>
      </c>
      <c r="AH118" s="16">
        <f t="shared" si="10"/>
        <v>-2.2633193364900682E-3</v>
      </c>
      <c r="AI118" s="16">
        <f t="shared" si="10"/>
        <v>-4.3855599667620709E-4</v>
      </c>
      <c r="AJ118" s="16">
        <f t="shared" si="10"/>
        <v>-1.1580939468406627E-3</v>
      </c>
      <c r="AK118" s="16">
        <f t="shared" si="10"/>
        <v>-1.0170870626525631E-3</v>
      </c>
      <c r="AL118" s="16">
        <f t="shared" si="10"/>
        <v>-3.6338663003907239E-3</v>
      </c>
      <c r="AM118" s="16">
        <f t="shared" si="10"/>
        <v>-5.4906431081979687E-3</v>
      </c>
      <c r="AN118" s="16">
        <f t="shared" si="10"/>
        <v>-7.4744417333292177E-3</v>
      </c>
      <c r="AO118" s="16">
        <f t="shared" si="10"/>
        <v>-1.3014679686193531E-3</v>
      </c>
      <c r="AP118" s="16">
        <f t="shared" si="10"/>
        <v>-3.1258840169731262E-3</v>
      </c>
      <c r="AQ118" s="16">
        <f t="shared" si="10"/>
        <v>-1.8184772284157377E-2</v>
      </c>
      <c r="AR118" s="16">
        <f t="shared" si="10"/>
        <v>-9.6686623777471996E-3</v>
      </c>
      <c r="AS118" s="16">
        <f t="shared" si="10"/>
        <v>-9.1421343146274141E-3</v>
      </c>
      <c r="AT118" s="16">
        <f t="shared" si="10"/>
        <v>0</v>
      </c>
    </row>
    <row r="119" spans="2:46" x14ac:dyDescent="0.3">
      <c r="B119" s="16">
        <f t="shared" ref="B119:AT119" si="11">B68-B17</f>
        <v>-4.4833273302875773E-3</v>
      </c>
      <c r="C119" s="16">
        <f t="shared" si="11"/>
        <v>-2.1141649048625794E-3</v>
      </c>
      <c r="D119" s="16">
        <f t="shared" si="11"/>
        <v>-9.398496240601577E-4</v>
      </c>
      <c r="E119" s="16">
        <f t="shared" si="11"/>
        <v>-9.2564023449552579E-4</v>
      </c>
      <c r="F119" s="16">
        <f t="shared" si="11"/>
        <v>-1.1691348402182386E-3</v>
      </c>
      <c r="G119" s="16">
        <f t="shared" si="11"/>
        <v>-2.7545075606763571E-3</v>
      </c>
      <c r="H119" s="16">
        <f t="shared" si="11"/>
        <v>-2.0510908073839268E-3</v>
      </c>
      <c r="I119" s="16">
        <f t="shared" si="11"/>
        <v>-1.7591868647380765E-3</v>
      </c>
      <c r="J119" s="16">
        <f t="shared" si="11"/>
        <v>-1.4624505928853759E-3</v>
      </c>
      <c r="K119" s="16">
        <f t="shared" si="11"/>
        <v>-1.8153013400224436E-3</v>
      </c>
      <c r="L119" s="16">
        <f t="shared" si="11"/>
        <v>-8.3190669805264308E-3</v>
      </c>
      <c r="M119" s="16">
        <f t="shared" si="11"/>
        <v>0.92969901073458217</v>
      </c>
      <c r="N119" s="16">
        <f t="shared" si="11"/>
        <v>-7.7534500414492601E-3</v>
      </c>
      <c r="O119" s="16">
        <f t="shared" si="11"/>
        <v>-2.3752073593726439E-3</v>
      </c>
      <c r="P119" s="16">
        <f t="shared" si="11"/>
        <v>-2.2630342066324305E-3</v>
      </c>
      <c r="Q119" s="16">
        <f t="shared" si="11"/>
        <v>-9.0511020328285906E-4</v>
      </c>
      <c r="R119" s="16">
        <f t="shared" si="11"/>
        <v>-1.1584251736321367E-3</v>
      </c>
      <c r="S119" s="16">
        <f t="shared" si="11"/>
        <v>-2.4466461568275972E-3</v>
      </c>
      <c r="T119" s="16">
        <f t="shared" si="11"/>
        <v>-1.2860357946629509E-3</v>
      </c>
      <c r="U119" s="16">
        <f t="shared" si="11"/>
        <v>-1.7944620543315956E-3</v>
      </c>
      <c r="V119" s="16">
        <f t="shared" si="11"/>
        <v>-8.3246618106139442E-4</v>
      </c>
      <c r="W119" s="16">
        <f t="shared" si="11"/>
        <v>-1.2841197194692303E-3</v>
      </c>
      <c r="X119" s="16">
        <f t="shared" si="11"/>
        <v>-6.3958279522280891E-4</v>
      </c>
      <c r="Y119" s="16">
        <f t="shared" si="11"/>
        <v>-7.7021822849807466E-4</v>
      </c>
      <c r="Z119" s="16">
        <f t="shared" si="11"/>
        <v>-9.7073818004050558E-4</v>
      </c>
      <c r="AA119" s="16">
        <f t="shared" si="11"/>
        <v>-9.6169643250694221E-4</v>
      </c>
      <c r="AB119" s="16">
        <f t="shared" si="11"/>
        <v>-5.0900946757609681E-4</v>
      </c>
      <c r="AC119" s="16">
        <f t="shared" si="11"/>
        <v>-1.7133066818960591E-3</v>
      </c>
      <c r="AD119" s="16">
        <f t="shared" si="11"/>
        <v>-1.3780036172594953E-3</v>
      </c>
      <c r="AE119" s="16">
        <f t="shared" si="11"/>
        <v>-3.9895801553589444E-4</v>
      </c>
      <c r="AF119" s="16">
        <f t="shared" si="11"/>
        <v>-3.0281619057232265E-4</v>
      </c>
      <c r="AG119" s="16">
        <f t="shared" si="11"/>
        <v>-7.7761937383125654E-4</v>
      </c>
      <c r="AH119" s="16">
        <f t="shared" si="11"/>
        <v>-4.764882813663302E-4</v>
      </c>
      <c r="AI119" s="16">
        <f t="shared" si="11"/>
        <v>-3.0006462930477328E-4</v>
      </c>
      <c r="AJ119" s="16">
        <f t="shared" si="11"/>
        <v>-9.603705900629887E-4</v>
      </c>
      <c r="AK119" s="16">
        <f t="shared" si="11"/>
        <v>-2.7122321670735011E-4</v>
      </c>
      <c r="AL119" s="16">
        <f t="shared" si="11"/>
        <v>-3.60052807745136E-4</v>
      </c>
      <c r="AM119" s="16">
        <f t="shared" si="11"/>
        <v>-1.4344067635603691E-3</v>
      </c>
      <c r="AN119" s="16">
        <f t="shared" si="11"/>
        <v>-9.8835593167989665E-4</v>
      </c>
      <c r="AO119" s="16">
        <f t="shared" si="11"/>
        <v>-3.9262162181812895E-4</v>
      </c>
      <c r="AP119" s="16">
        <f t="shared" si="11"/>
        <v>-4.1018387553041016E-4</v>
      </c>
      <c r="AQ119" s="16">
        <f t="shared" si="11"/>
        <v>-4.498075288706694E-2</v>
      </c>
      <c r="AR119" s="16">
        <f t="shared" si="11"/>
        <v>-1.6734223346100924E-3</v>
      </c>
      <c r="AS119" s="16">
        <f t="shared" si="11"/>
        <v>-1.2074517019319225E-3</v>
      </c>
      <c r="AT119" s="16">
        <f t="shared" si="11"/>
        <v>0</v>
      </c>
    </row>
    <row r="120" spans="2:46" x14ac:dyDescent="0.3">
      <c r="B120" s="16">
        <f t="shared" ref="B120:AT120" si="12">B69-B18</f>
        <v>-4.3411499308069982E-3</v>
      </c>
      <c r="C120" s="16">
        <f t="shared" si="12"/>
        <v>-4.2283298097251587E-3</v>
      </c>
      <c r="D120" s="16">
        <f t="shared" si="12"/>
        <v>-1.8796992481203154E-3</v>
      </c>
      <c r="E120" s="16">
        <f t="shared" si="12"/>
        <v>-2.1598272138228934E-3</v>
      </c>
      <c r="F120" s="16">
        <f t="shared" si="12"/>
        <v>-3.5074045206547159E-3</v>
      </c>
      <c r="G120" s="16">
        <f t="shared" si="12"/>
        <v>-1.7209578210951398E-2</v>
      </c>
      <c r="H120" s="16">
        <f t="shared" si="12"/>
        <v>-3.2133755982348196E-2</v>
      </c>
      <c r="I120" s="16">
        <f t="shared" si="12"/>
        <v>-3.1567630961688818E-2</v>
      </c>
      <c r="J120" s="16">
        <f t="shared" si="12"/>
        <v>-1.9762845849802375E-2</v>
      </c>
      <c r="K120" s="16">
        <f t="shared" si="12"/>
        <v>-9.2415340946597126E-4</v>
      </c>
      <c r="L120" s="16">
        <f t="shared" si="12"/>
        <v>-1.9179328054782802E-2</v>
      </c>
      <c r="M120" s="16">
        <f t="shared" si="12"/>
        <v>-1.1456234777640798E-2</v>
      </c>
      <c r="N120" s="16">
        <f t="shared" si="12"/>
        <v>0.88930609060320864</v>
      </c>
      <c r="O120" s="16">
        <f t="shared" si="12"/>
        <v>-1.1235107826873777E-2</v>
      </c>
      <c r="P120" s="16">
        <f t="shared" si="12"/>
        <v>-2.7417529811123676E-3</v>
      </c>
      <c r="Q120" s="16">
        <f t="shared" si="12"/>
        <v>-1.0347611242936469E-2</v>
      </c>
      <c r="R120" s="16">
        <f t="shared" si="12"/>
        <v>-2.3110582213961124E-2</v>
      </c>
      <c r="S120" s="16">
        <f t="shared" si="12"/>
        <v>-5.3051040430222157E-2</v>
      </c>
      <c r="T120" s="16">
        <f t="shared" si="12"/>
        <v>-1.1803971401013514E-2</v>
      </c>
      <c r="U120" s="16">
        <f t="shared" si="12"/>
        <v>-2.8233306263589452E-2</v>
      </c>
      <c r="V120" s="16">
        <f t="shared" si="12"/>
        <v>-1.1446409989594173E-2</v>
      </c>
      <c r="W120" s="16">
        <f t="shared" si="12"/>
        <v>-3.437489710579171E-2</v>
      </c>
      <c r="X120" s="16">
        <f t="shared" si="12"/>
        <v>-1.7711523560016247E-3</v>
      </c>
      <c r="Y120" s="16">
        <f t="shared" si="12"/>
        <v>-1.2103429304969743E-2</v>
      </c>
      <c r="Z120" s="16">
        <f t="shared" si="12"/>
        <v>-2.3507228158390948E-2</v>
      </c>
      <c r="AA120" s="16">
        <f t="shared" si="12"/>
        <v>-3.9509695102160208E-3</v>
      </c>
      <c r="AB120" s="16">
        <f t="shared" si="12"/>
        <v>-6.718924972004478E-3</v>
      </c>
      <c r="AC120" s="16">
        <f t="shared" si="12"/>
        <v>-1.7133066818960591E-3</v>
      </c>
      <c r="AD120" s="16">
        <f t="shared" si="12"/>
        <v>-5.1675135647231063E-4</v>
      </c>
      <c r="AE120" s="16">
        <f t="shared" si="12"/>
        <v>-3.2151322428480905E-3</v>
      </c>
      <c r="AF120" s="16">
        <f t="shared" si="12"/>
        <v>-1.4131422226708391E-3</v>
      </c>
      <c r="AG120" s="16">
        <f t="shared" si="12"/>
        <v>-1.5182092536705483E-3</v>
      </c>
      <c r="AH120" s="16">
        <f t="shared" si="12"/>
        <v>-1.072098633074243E-3</v>
      </c>
      <c r="AI120" s="16">
        <f t="shared" si="12"/>
        <v>-6.2321115317145223E-4</v>
      </c>
      <c r="AJ120" s="16">
        <f t="shared" si="12"/>
        <v>-3.3895432590458422E-4</v>
      </c>
      <c r="AK120" s="16">
        <f t="shared" si="12"/>
        <v>-1.5885931264287649E-3</v>
      </c>
      <c r="AL120" s="16">
        <f t="shared" si="12"/>
        <v>-3.1604635346517492E-3</v>
      </c>
      <c r="AM120" s="16">
        <f t="shared" si="12"/>
        <v>-2.7548209366391194E-3</v>
      </c>
      <c r="AN120" s="16">
        <f t="shared" si="12"/>
        <v>-2.9032955493096964E-3</v>
      </c>
      <c r="AO120" s="16">
        <f t="shared" si="12"/>
        <v>-1.6286526534677939E-3</v>
      </c>
      <c r="AP120" s="16">
        <f t="shared" si="12"/>
        <v>-3.2531824611032527E-4</v>
      </c>
      <c r="AQ120" s="16">
        <f t="shared" si="12"/>
        <v>-5.1867219917012446E-3</v>
      </c>
      <c r="AR120" s="16">
        <f t="shared" si="12"/>
        <v>-1.45029935666208E-3</v>
      </c>
      <c r="AS120" s="16">
        <f t="shared" si="12"/>
        <v>-1.1499540018399261E-3</v>
      </c>
      <c r="AT120" s="16">
        <f t="shared" si="12"/>
        <v>0</v>
      </c>
    </row>
    <row r="121" spans="2:46" x14ac:dyDescent="0.3">
      <c r="B121" s="16">
        <f t="shared" ref="B121:AT121" si="13">B70-B19</f>
        <v>-2.1231824989099732E-3</v>
      </c>
      <c r="C121" s="16">
        <f t="shared" si="13"/>
        <v>-2.1141649048625794E-3</v>
      </c>
      <c r="D121" s="16">
        <f t="shared" si="13"/>
        <v>-9.398496240601577E-4</v>
      </c>
      <c r="E121" s="16">
        <f t="shared" si="13"/>
        <v>-2.4066646096883672E-2</v>
      </c>
      <c r="F121" s="16">
        <f t="shared" si="13"/>
        <v>-1.1301636788776307E-2</v>
      </c>
      <c r="G121" s="16">
        <f t="shared" si="13"/>
        <v>-5.9315354551437776E-3</v>
      </c>
      <c r="H121" s="16">
        <f t="shared" si="13"/>
        <v>-2.4861706756168812E-3</v>
      </c>
      <c r="I121" s="16">
        <f t="shared" si="13"/>
        <v>-7.3299452697419857E-3</v>
      </c>
      <c r="J121" s="16">
        <f t="shared" si="13"/>
        <v>-9.4861660079051402E-4</v>
      </c>
      <c r="K121" s="16">
        <f t="shared" si="13"/>
        <v>-5.9409862037098152E-4</v>
      </c>
      <c r="L121" s="16">
        <f t="shared" si="13"/>
        <v>-2.8086882088594061E-3</v>
      </c>
      <c r="M121" s="16">
        <f t="shared" si="13"/>
        <v>-3.8488137835643627E-3</v>
      </c>
      <c r="N121" s="16">
        <f t="shared" si="13"/>
        <v>-4.2180718778953522E-3</v>
      </c>
      <c r="O121" s="16">
        <f t="shared" si="13"/>
        <v>0.88712109787362392</v>
      </c>
      <c r="P121" s="16">
        <f t="shared" si="13"/>
        <v>-3.9603098616067534E-3</v>
      </c>
      <c r="Q121" s="16">
        <f t="shared" si="13"/>
        <v>-2.5196311064360675E-3</v>
      </c>
      <c r="R121" s="16">
        <f t="shared" si="13"/>
        <v>-2.1904766919589496E-3</v>
      </c>
      <c r="S121" s="16">
        <f t="shared" si="13"/>
        <v>-7.7759744192243433E-3</v>
      </c>
      <c r="T121" s="16">
        <f t="shared" si="13"/>
        <v>-3.3988088858949417E-3</v>
      </c>
      <c r="U121" s="16">
        <f t="shared" si="13"/>
        <v>-7.5118539281691255E-3</v>
      </c>
      <c r="V121" s="16">
        <f t="shared" si="13"/>
        <v>-3.3298647242455777E-3</v>
      </c>
      <c r="W121" s="16">
        <f t="shared" si="13"/>
        <v>-3.6218761318362906E-3</v>
      </c>
      <c r="X121" s="16">
        <f t="shared" si="13"/>
        <v>-2.4722334969189347E-3</v>
      </c>
      <c r="Y121" s="16">
        <f t="shared" si="13"/>
        <v>-3.2275811479919318E-3</v>
      </c>
      <c r="Z121" s="16">
        <f t="shared" si="13"/>
        <v>-8.177945387247712E-2</v>
      </c>
      <c r="AA121" s="16">
        <f t="shared" si="13"/>
        <v>-2.7688843119262375E-3</v>
      </c>
      <c r="AB121" s="16">
        <f t="shared" si="13"/>
        <v>-6.9988801791713313E-4</v>
      </c>
      <c r="AC121" s="16">
        <f t="shared" si="13"/>
        <v>-5.7110222729868636E-3</v>
      </c>
      <c r="AD121" s="16">
        <f t="shared" si="13"/>
        <v>-7.7512703470846605E-4</v>
      </c>
      <c r="AE121" s="16">
        <f t="shared" si="13"/>
        <v>-1.7366407735091877E-3</v>
      </c>
      <c r="AF121" s="16">
        <f t="shared" si="13"/>
        <v>-2.0187746038154844E-4</v>
      </c>
      <c r="AG121" s="16">
        <f t="shared" si="13"/>
        <v>-1.0738553257669734E-3</v>
      </c>
      <c r="AH121" s="16">
        <f t="shared" si="13"/>
        <v>-1.489025879269782E-4</v>
      </c>
      <c r="AI121" s="16">
        <f t="shared" si="13"/>
        <v>-9.0019388791431985E-4</v>
      </c>
      <c r="AJ121" s="16">
        <f t="shared" si="13"/>
        <v>-2.2596955060305617E-4</v>
      </c>
      <c r="AK121" s="16">
        <f t="shared" si="13"/>
        <v>-2.0341741253051261E-4</v>
      </c>
      <c r="AL121" s="16">
        <f t="shared" si="13"/>
        <v>-1.3808691941484751E-2</v>
      </c>
      <c r="AM121" s="16">
        <f t="shared" si="13"/>
        <v>-2.1468604540704865E-3</v>
      </c>
      <c r="AN121" s="16">
        <f t="shared" si="13"/>
        <v>-1.3126602217623626E-3</v>
      </c>
      <c r="AO121" s="16">
        <f t="shared" si="13"/>
        <v>-1.9631081090906448E-4</v>
      </c>
      <c r="AP121" s="16">
        <f t="shared" si="13"/>
        <v>-1.5558698727015561E-4</v>
      </c>
      <c r="AQ121" s="16">
        <f t="shared" si="13"/>
        <v>-1.6622506624006401E-3</v>
      </c>
      <c r="AR121" s="16">
        <f t="shared" si="13"/>
        <v>-3.7187162991335386E-4</v>
      </c>
      <c r="AS121" s="16">
        <f t="shared" si="13"/>
        <v>-4.8873045078196866E-4</v>
      </c>
      <c r="AT121" s="16">
        <f t="shared" si="13"/>
        <v>0</v>
      </c>
    </row>
    <row r="122" spans="2:46" x14ac:dyDescent="0.3">
      <c r="B122" s="16">
        <f t="shared" ref="B122:AT122" si="14">B71-B20</f>
        <v>-1.6018653674811849E-3</v>
      </c>
      <c r="C122" s="16">
        <f t="shared" si="14"/>
        <v>-2.1141649048625794E-3</v>
      </c>
      <c r="D122" s="16">
        <f t="shared" si="14"/>
        <v>-3.7593984962406308E-3</v>
      </c>
      <c r="E122" s="16">
        <f t="shared" si="14"/>
        <v>-4.0111076828139459E-3</v>
      </c>
      <c r="F122" s="16">
        <f t="shared" si="14"/>
        <v>-1.7926734216679657E-2</v>
      </c>
      <c r="G122" s="16">
        <f t="shared" si="14"/>
        <v>-2.266984098609745E-3</v>
      </c>
      <c r="H122" s="16">
        <f t="shared" si="14"/>
        <v>-1.2430853378084406E-3</v>
      </c>
      <c r="I122" s="16">
        <f t="shared" si="14"/>
        <v>-2.9417513682564504E-2</v>
      </c>
      <c r="J122" s="16">
        <f t="shared" si="14"/>
        <v>-2.0948616600790517E-3</v>
      </c>
      <c r="K122" s="16">
        <f t="shared" si="14"/>
        <v>-2.8219684467621626E-3</v>
      </c>
      <c r="L122" s="16">
        <f t="shared" si="14"/>
        <v>-6.4733575861331072E-3</v>
      </c>
      <c r="M122" s="16">
        <f t="shared" si="14"/>
        <v>-3.9690892143007485E-3</v>
      </c>
      <c r="N122" s="16">
        <f t="shared" si="14"/>
        <v>-1.1166918613156482E-2</v>
      </c>
      <c r="O122" s="16">
        <f t="shared" si="14"/>
        <v>-1.9642587844970597E-2</v>
      </c>
      <c r="P122" s="16">
        <f t="shared" si="14"/>
        <v>0.71146313865436506</v>
      </c>
      <c r="Q122" s="16">
        <f t="shared" si="14"/>
        <v>-0.15108001663445778</v>
      </c>
      <c r="R122" s="16">
        <f t="shared" si="14"/>
        <v>-2.8012826926013487E-3</v>
      </c>
      <c r="S122" s="16">
        <f t="shared" si="14"/>
        <v>-0.13458976284489238</v>
      </c>
      <c r="T122" s="16">
        <f t="shared" si="14"/>
        <v>-6.2204326591852023E-2</v>
      </c>
      <c r="U122" s="16">
        <f t="shared" si="14"/>
        <v>-2.0315406177140911E-2</v>
      </c>
      <c r="V122" s="16">
        <f t="shared" si="14"/>
        <v>-6.8470343392299682E-2</v>
      </c>
      <c r="W122" s="16">
        <f t="shared" si="14"/>
        <v>-2.8250633828323067E-2</v>
      </c>
      <c r="X122" s="16">
        <f t="shared" si="14"/>
        <v>-2.7551258871136384E-3</v>
      </c>
      <c r="Y122" s="16">
        <f t="shared" si="14"/>
        <v>-7.4821199339812957E-3</v>
      </c>
      <c r="Z122" s="16">
        <f t="shared" si="14"/>
        <v>-2.3528179342132825E-2</v>
      </c>
      <c r="AA122" s="16">
        <f t="shared" si="14"/>
        <v>-3.61838282730737E-3</v>
      </c>
      <c r="AB122" s="16">
        <f t="shared" si="14"/>
        <v>-7.8769215107400981E-3</v>
      </c>
      <c r="AC122" s="16">
        <f t="shared" si="14"/>
        <v>-2.8555111364934318E-3</v>
      </c>
      <c r="AD122" s="16">
        <f t="shared" si="14"/>
        <v>-8.6125226078718456E-5</v>
      </c>
      <c r="AE122" s="16">
        <f t="shared" si="14"/>
        <v>-1.9243857219966671E-3</v>
      </c>
      <c r="AF122" s="16">
        <f t="shared" si="14"/>
        <v>0</v>
      </c>
      <c r="AG122" s="16">
        <f t="shared" si="14"/>
        <v>-9.2573734979911496E-5</v>
      </c>
      <c r="AH122" s="16">
        <f t="shared" si="14"/>
        <v>-2.9780517585395638E-5</v>
      </c>
      <c r="AI122" s="16">
        <f t="shared" si="14"/>
        <v>-6.9245683685716919E-5</v>
      </c>
      <c r="AJ122" s="16">
        <f t="shared" si="14"/>
        <v>-2.2596955060305617E-4</v>
      </c>
      <c r="AK122" s="16">
        <f t="shared" si="14"/>
        <v>-1.9373086907667869E-5</v>
      </c>
      <c r="AL122" s="16">
        <f t="shared" si="14"/>
        <v>-2.9937724199549267E-3</v>
      </c>
      <c r="AM122" s="16">
        <f t="shared" si="14"/>
        <v>-7.618504797188186E-3</v>
      </c>
      <c r="AN122" s="16">
        <f t="shared" si="14"/>
        <v>-1.1613182197238786E-2</v>
      </c>
      <c r="AO122" s="16">
        <f t="shared" si="14"/>
        <v>-7.2707707744097954E-6</v>
      </c>
      <c r="AP122" s="16">
        <f t="shared" si="14"/>
        <v>-2.8288543140028291E-5</v>
      </c>
      <c r="AQ122" s="16">
        <f t="shared" si="14"/>
        <v>-2.4996250562415637E-4</v>
      </c>
      <c r="AR122" s="16">
        <f t="shared" si="14"/>
        <v>-1.1156148897400615E-4</v>
      </c>
      <c r="AS122" s="16">
        <f t="shared" si="14"/>
        <v>-1.6961821527138913E-3</v>
      </c>
      <c r="AT122" s="16">
        <f t="shared" si="14"/>
        <v>0</v>
      </c>
    </row>
    <row r="123" spans="2:46" x14ac:dyDescent="0.3">
      <c r="B123" s="16">
        <f t="shared" ref="B123:AT123" si="15">B72-B21</f>
        <v>-2.1421394855073838E-3</v>
      </c>
      <c r="C123" s="16">
        <f t="shared" si="15"/>
        <v>-2.1141649048625794E-3</v>
      </c>
      <c r="D123" s="16">
        <f t="shared" si="15"/>
        <v>-1.8796992481203154E-3</v>
      </c>
      <c r="E123" s="16">
        <f t="shared" si="15"/>
        <v>-4.3196544276457869E-3</v>
      </c>
      <c r="F123" s="16">
        <f t="shared" si="15"/>
        <v>-7.0148090413094319E-3</v>
      </c>
      <c r="G123" s="16">
        <f t="shared" si="15"/>
        <v>-1.2756863924076343E-2</v>
      </c>
      <c r="H123" s="16">
        <f t="shared" si="15"/>
        <v>-9.1366772328920383E-3</v>
      </c>
      <c r="I123" s="16">
        <f t="shared" si="15"/>
        <v>-2.4433150899139951E-2</v>
      </c>
      <c r="J123" s="16">
        <f t="shared" si="15"/>
        <v>-5.5731225296442692E-3</v>
      </c>
      <c r="K123" s="16">
        <f t="shared" si="15"/>
        <v>-2.739454749488415E-3</v>
      </c>
      <c r="L123" s="16">
        <f t="shared" si="15"/>
        <v>-6.2326128825165869E-3</v>
      </c>
      <c r="M123" s="16">
        <f t="shared" si="15"/>
        <v>-3.9991580719848461E-3</v>
      </c>
      <c r="N123" s="16">
        <f t="shared" si="15"/>
        <v>-2.5113375920417416E-2</v>
      </c>
      <c r="O123" s="16">
        <f t="shared" si="15"/>
        <v>-7.3895340069371155E-3</v>
      </c>
      <c r="P123" s="16">
        <f t="shared" si="15"/>
        <v>-1.7973713987292188E-2</v>
      </c>
      <c r="Q123" s="16">
        <f t="shared" si="15"/>
        <v>0.84370948408718416</v>
      </c>
      <c r="R123" s="16">
        <f t="shared" si="15"/>
        <v>-8.1195073533670663E-3</v>
      </c>
      <c r="S123" s="16">
        <f t="shared" si="15"/>
        <v>-3.2436229742496561E-2</v>
      </c>
      <c r="T123" s="16">
        <f t="shared" si="15"/>
        <v>-7.5692392485876545E-2</v>
      </c>
      <c r="U123" s="16">
        <f t="shared" si="15"/>
        <v>-4.5090770963770205E-2</v>
      </c>
      <c r="V123" s="16">
        <f t="shared" si="15"/>
        <v>-3.1841831425598335E-2</v>
      </c>
      <c r="W123" s="16">
        <f t="shared" si="15"/>
        <v>-3.7963847090974938E-2</v>
      </c>
      <c r="X123" s="16">
        <f t="shared" si="15"/>
        <v>-8.0070846094240106E-3</v>
      </c>
      <c r="Y123" s="16">
        <f t="shared" si="15"/>
        <v>-6.6018705299834965E-3</v>
      </c>
      <c r="Z123" s="16">
        <f t="shared" si="15"/>
        <v>-5.1532928277114316E-2</v>
      </c>
      <c r="AA123" s="16">
        <f t="shared" si="15"/>
        <v>-5.2131960778813826E-3</v>
      </c>
      <c r="AB123" s="16">
        <f t="shared" si="15"/>
        <v>-2.9013539651837521E-3</v>
      </c>
      <c r="AC123" s="16">
        <f t="shared" si="15"/>
        <v>-2.2844089091947459E-3</v>
      </c>
      <c r="AD123" s="16">
        <f t="shared" si="15"/>
        <v>-1.4641288433382136E-3</v>
      </c>
      <c r="AE123" s="16">
        <f t="shared" si="15"/>
        <v>-5.444603506136912E-3</v>
      </c>
      <c r="AF123" s="16">
        <f t="shared" si="15"/>
        <v>-1.0093873019077421E-3</v>
      </c>
      <c r="AG123" s="16">
        <f t="shared" si="15"/>
        <v>-1.1293995667549202E-3</v>
      </c>
      <c r="AH123" s="16">
        <f t="shared" si="15"/>
        <v>-7.742934572202866E-4</v>
      </c>
      <c r="AI123" s="16">
        <f t="shared" si="15"/>
        <v>-3.5546117625334683E-3</v>
      </c>
      <c r="AJ123" s="16">
        <f t="shared" si="15"/>
        <v>-1.7512640171736854E-3</v>
      </c>
      <c r="AK123" s="16">
        <f t="shared" si="15"/>
        <v>-6.3931186795303956E-4</v>
      </c>
      <c r="AL123" s="16">
        <f t="shared" si="15"/>
        <v>-5.2207657123044711E-3</v>
      </c>
      <c r="AM123" s="16">
        <f t="shared" si="15"/>
        <v>-2.2418542794718352E-3</v>
      </c>
      <c r="AN123" s="16">
        <f t="shared" si="15"/>
        <v>-2.9959539179046863E-3</v>
      </c>
      <c r="AO123" s="16">
        <f t="shared" si="15"/>
        <v>-1.272384885521714E-3</v>
      </c>
      <c r="AP123" s="16">
        <f t="shared" si="15"/>
        <v>-2.3903818953323903E-3</v>
      </c>
      <c r="AQ123" s="16">
        <f t="shared" si="15"/>
        <v>-2.6246063090536419E-3</v>
      </c>
      <c r="AR123" s="16">
        <f t="shared" si="15"/>
        <v>-3.9046521140902153E-3</v>
      </c>
      <c r="AS123" s="16">
        <f t="shared" si="15"/>
        <v>-1.839926402943882E-3</v>
      </c>
      <c r="AT123" s="16">
        <f t="shared" si="15"/>
        <v>0</v>
      </c>
    </row>
    <row r="124" spans="2:46" x14ac:dyDescent="0.3">
      <c r="B124" s="16">
        <f t="shared" ref="B124:AT124" si="16">B73-B22</f>
        <v>-1.1942901556368599E-3</v>
      </c>
      <c r="C124" s="16">
        <f t="shared" si="16"/>
        <v>-2.1141649048625794E-3</v>
      </c>
      <c r="D124" s="16">
        <f t="shared" si="16"/>
        <v>-5.6390977443609453E-3</v>
      </c>
      <c r="E124" s="16">
        <f t="shared" si="16"/>
        <v>-2.1598272138228934E-3</v>
      </c>
      <c r="F124" s="16">
        <f t="shared" si="16"/>
        <v>-1.6757599376461419E-2</v>
      </c>
      <c r="G124" s="16">
        <f t="shared" si="16"/>
        <v>-2.1288524510242051E-3</v>
      </c>
      <c r="H124" s="16">
        <f t="shared" si="16"/>
        <v>-1.8024737398222388E-3</v>
      </c>
      <c r="I124" s="16">
        <f t="shared" si="16"/>
        <v>-2.4433150899139952E-3</v>
      </c>
      <c r="J124" s="16">
        <f t="shared" si="16"/>
        <v>-3.241106719367589E-3</v>
      </c>
      <c r="K124" s="16">
        <f t="shared" si="16"/>
        <v>-1.8978150372961911E-3</v>
      </c>
      <c r="L124" s="16">
        <f t="shared" si="16"/>
        <v>-2.2736999786004716E-3</v>
      </c>
      <c r="M124" s="16">
        <f t="shared" si="16"/>
        <v>-3.6684006374597829E-3</v>
      </c>
      <c r="N124" s="16">
        <f t="shared" si="16"/>
        <v>-1.0191641878382989E-2</v>
      </c>
      <c r="O124" s="16">
        <f t="shared" si="16"/>
        <v>-1.960488614085357E-3</v>
      </c>
      <c r="P124" s="16">
        <f t="shared" si="16"/>
        <v>-1.8278353207415786E-3</v>
      </c>
      <c r="Q124" s="16">
        <f t="shared" si="16"/>
        <v>-7.9502923261332206E-3</v>
      </c>
      <c r="R124" s="16">
        <f t="shared" si="16"/>
        <v>0.52858940672834409</v>
      </c>
      <c r="S124" s="16">
        <f t="shared" si="16"/>
        <v>-7.4198783944187427E-2</v>
      </c>
      <c r="T124" s="16">
        <f t="shared" si="16"/>
        <v>-1.5631458885129439E-2</v>
      </c>
      <c r="U124" s="16">
        <f t="shared" si="16"/>
        <v>-7.3206192858826916E-2</v>
      </c>
      <c r="V124" s="16">
        <f t="shared" si="16"/>
        <v>-4.1623309053069723E-3</v>
      </c>
      <c r="W124" s="16">
        <f t="shared" si="16"/>
        <v>-7.9812979487010632E-2</v>
      </c>
      <c r="X124" s="16">
        <f t="shared" si="16"/>
        <v>-5.5963494581995777E-3</v>
      </c>
      <c r="Y124" s="16">
        <f t="shared" si="16"/>
        <v>-6.0883917109847809E-3</v>
      </c>
      <c r="Z124" s="16">
        <f t="shared" si="16"/>
        <v>-6.7532648927997761E-3</v>
      </c>
      <c r="AA124" s="16">
        <f t="shared" si="16"/>
        <v>-8.5871477285932377E-3</v>
      </c>
      <c r="AB124" s="16">
        <f t="shared" si="16"/>
        <v>-3.0413315687671783E-3</v>
      </c>
      <c r="AC124" s="16">
        <f t="shared" si="16"/>
        <v>-3.4266133637921182E-3</v>
      </c>
      <c r="AD124" s="16">
        <f t="shared" si="16"/>
        <v>-2.6698820084402721E-3</v>
      </c>
      <c r="AE124" s="16">
        <f t="shared" si="16"/>
        <v>-4.7874961864307333E-3</v>
      </c>
      <c r="AF124" s="16">
        <f t="shared" si="16"/>
        <v>-9.0844857171696793E-3</v>
      </c>
      <c r="AG124" s="16">
        <f t="shared" si="16"/>
        <v>-1.8144452056062653E-3</v>
      </c>
      <c r="AH124" s="16">
        <f t="shared" si="16"/>
        <v>-3.2162958992227289E-3</v>
      </c>
      <c r="AI124" s="16">
        <f t="shared" si="16"/>
        <v>-1.6018834825962513E-2</v>
      </c>
      <c r="AJ124" s="16">
        <f t="shared" si="16"/>
        <v>-2.3331356099765548E-2</v>
      </c>
      <c r="AK124" s="16">
        <f t="shared" si="16"/>
        <v>-5.3857181603316675E-3</v>
      </c>
      <c r="AL124" s="16">
        <f t="shared" si="16"/>
        <v>-3.0204429983064184E-3</v>
      </c>
      <c r="AM124" s="16">
        <f t="shared" si="16"/>
        <v>-7.5235109717868365E-3</v>
      </c>
      <c r="AN124" s="16">
        <f t="shared" si="16"/>
        <v>-7.1038082589492567E-3</v>
      </c>
      <c r="AO124" s="16">
        <f t="shared" si="16"/>
        <v>-3.0609944960265237E-3</v>
      </c>
      <c r="AP124" s="16">
        <f t="shared" si="16"/>
        <v>-6.1103253182461107E-3</v>
      </c>
      <c r="AQ124" s="16">
        <f t="shared" si="16"/>
        <v>-1.2310653401989701E-2</v>
      </c>
      <c r="AR124" s="16">
        <f t="shared" si="16"/>
        <v>-4.9830798408389415E-3</v>
      </c>
      <c r="AS124" s="16">
        <f t="shared" si="16"/>
        <v>-9.803357865685371E-3</v>
      </c>
      <c r="AT124" s="16">
        <f t="shared" si="16"/>
        <v>0</v>
      </c>
    </row>
    <row r="125" spans="2:46" x14ac:dyDescent="0.3">
      <c r="B125" s="16">
        <f t="shared" ref="B125:AT125" si="17">B74-B23</f>
        <v>-1.6966503004682374E-3</v>
      </c>
      <c r="C125" s="16">
        <f t="shared" si="17"/>
        <v>-2.1141649048625794E-3</v>
      </c>
      <c r="D125" s="16">
        <f t="shared" si="17"/>
        <v>-1.8796992481203154E-3</v>
      </c>
      <c r="E125" s="16">
        <f t="shared" si="17"/>
        <v>-3.3940141931502617E-3</v>
      </c>
      <c r="F125" s="16">
        <f t="shared" si="17"/>
        <v>-5.0662509742790346E-3</v>
      </c>
      <c r="G125" s="16">
        <f t="shared" si="17"/>
        <v>-1.8688399379220122E-3</v>
      </c>
      <c r="H125" s="16">
        <f t="shared" si="17"/>
        <v>-2.9834048107402573E-3</v>
      </c>
      <c r="I125" s="16">
        <f t="shared" si="17"/>
        <v>-2.7365129007036744E-3</v>
      </c>
      <c r="J125" s="16">
        <f t="shared" si="17"/>
        <v>-3.2015810276679844E-3</v>
      </c>
      <c r="K125" s="16">
        <f t="shared" si="17"/>
        <v>-2.7064492705789157E-3</v>
      </c>
      <c r="L125" s="16">
        <f t="shared" si="17"/>
        <v>-4.0391611384549553E-3</v>
      </c>
      <c r="M125" s="16">
        <f t="shared" si="17"/>
        <v>-2.315302041675437E-3</v>
      </c>
      <c r="N125" s="16">
        <f t="shared" si="17"/>
        <v>-6.802555225045105E-3</v>
      </c>
      <c r="O125" s="16">
        <f t="shared" si="17"/>
        <v>-3.3931533705323486E-3</v>
      </c>
      <c r="P125" s="16">
        <f t="shared" si="17"/>
        <v>-4.1343894159630943E-3</v>
      </c>
      <c r="Q125" s="16">
        <f t="shared" si="17"/>
        <v>-3.3293378018053273E-2</v>
      </c>
      <c r="R125" s="16">
        <f t="shared" si="17"/>
        <v>-7.3070300611332545E-2</v>
      </c>
      <c r="S125" s="16">
        <f t="shared" si="17"/>
        <v>0.88488650953223025</v>
      </c>
      <c r="T125" s="16">
        <f t="shared" si="17"/>
        <v>-4.0678536981184052E-2</v>
      </c>
      <c r="U125" s="16">
        <f t="shared" si="17"/>
        <v>-4.2739632724700709E-2</v>
      </c>
      <c r="V125" s="16">
        <f t="shared" si="17"/>
        <v>-2.3725286160249742E-2</v>
      </c>
      <c r="W125" s="16">
        <f t="shared" si="17"/>
        <v>-2.0545915511507685E-2</v>
      </c>
      <c r="X125" s="16">
        <f t="shared" si="17"/>
        <v>-1.3148346309484284E-2</v>
      </c>
      <c r="Y125" s="16">
        <f t="shared" si="17"/>
        <v>-4.4012470199889979E-3</v>
      </c>
      <c r="Z125" s="16">
        <f t="shared" si="17"/>
        <v>-2.8374886514421396E-2</v>
      </c>
      <c r="AA125" s="16">
        <f t="shared" si="17"/>
        <v>-4.1593370705925248E-3</v>
      </c>
      <c r="AB125" s="16">
        <f t="shared" si="17"/>
        <v>-3.3467372493128367E-3</v>
      </c>
      <c r="AC125" s="16">
        <f t="shared" si="17"/>
        <v>-6.8532267275842364E-3</v>
      </c>
      <c r="AD125" s="16">
        <f t="shared" si="17"/>
        <v>-1.7225045215743689E-3</v>
      </c>
      <c r="AE125" s="16">
        <f t="shared" si="17"/>
        <v>-2.2998756189716268E-3</v>
      </c>
      <c r="AF125" s="16">
        <f t="shared" si="17"/>
        <v>-1.2112647622892906E-3</v>
      </c>
      <c r="AG125" s="16">
        <f t="shared" si="17"/>
        <v>-1.4071207716946546E-3</v>
      </c>
      <c r="AH125" s="16">
        <f t="shared" si="17"/>
        <v>-5.9561035170791279E-4</v>
      </c>
      <c r="AI125" s="16">
        <f t="shared" si="17"/>
        <v>-9.2789216138860677E-3</v>
      </c>
      <c r="AJ125" s="16">
        <f t="shared" si="17"/>
        <v>-3.163573708442786E-3</v>
      </c>
      <c r="AK125" s="16">
        <f t="shared" si="17"/>
        <v>-4.8432717269169666E-4</v>
      </c>
      <c r="AL125" s="16">
        <f t="shared" si="17"/>
        <v>-3.9205750176692583E-3</v>
      </c>
      <c r="AM125" s="16">
        <f t="shared" si="17"/>
        <v>-3.6762610430322046E-3</v>
      </c>
      <c r="AN125" s="16">
        <f t="shared" si="17"/>
        <v>-2.7179788121197159E-3</v>
      </c>
      <c r="AO125" s="16">
        <f t="shared" si="17"/>
        <v>-1.6359234242422039E-3</v>
      </c>
      <c r="AP125" s="16">
        <f t="shared" si="17"/>
        <v>-5.5162659123055165E-4</v>
      </c>
      <c r="AQ125" s="16">
        <f t="shared" si="17"/>
        <v>-1.2998050292456133E-3</v>
      </c>
      <c r="AR125" s="16">
        <f t="shared" si="17"/>
        <v>-1.8593581495667693E-3</v>
      </c>
      <c r="AS125" s="16">
        <f t="shared" si="17"/>
        <v>-1.9549218031278746E-3</v>
      </c>
      <c r="AT125" s="16">
        <f t="shared" si="17"/>
        <v>0</v>
      </c>
    </row>
    <row r="126" spans="2:46" x14ac:dyDescent="0.3">
      <c r="B126" s="16">
        <f t="shared" ref="B126:AT126" si="18">B75-B24</f>
        <v>-1.2644310060472787E-2</v>
      </c>
      <c r="C126" s="16">
        <f t="shared" si="18"/>
        <v>-1.2684989429175474E-2</v>
      </c>
      <c r="D126" s="16">
        <f t="shared" si="18"/>
        <v>-1.221804511278205E-2</v>
      </c>
      <c r="E126" s="16">
        <f t="shared" si="18"/>
        <v>-2.9929034248688667E-2</v>
      </c>
      <c r="F126" s="16">
        <f t="shared" si="18"/>
        <v>-2.0265003897116139E-2</v>
      </c>
      <c r="G126" s="16">
        <f t="shared" si="18"/>
        <v>-8.3691527654768377E-3</v>
      </c>
      <c r="H126" s="16">
        <f t="shared" si="18"/>
        <v>-8.8880601653303516E-3</v>
      </c>
      <c r="I126" s="16">
        <f t="shared" si="18"/>
        <v>-1.0066458170445661E-2</v>
      </c>
      <c r="J126" s="16">
        <f t="shared" si="18"/>
        <v>-1.837944664031621E-2</v>
      </c>
      <c r="K126" s="16">
        <f t="shared" si="18"/>
        <v>-9.060003960657469E-3</v>
      </c>
      <c r="L126" s="16">
        <f t="shared" si="18"/>
        <v>-1.3668949283115777E-2</v>
      </c>
      <c r="M126" s="16">
        <f t="shared" si="18"/>
        <v>-7.6976275671287253E-3</v>
      </c>
      <c r="N126" s="16">
        <f t="shared" si="18"/>
        <v>-1.343443702150485E-2</v>
      </c>
      <c r="O126" s="16">
        <f t="shared" si="18"/>
        <v>-1.6513346403257429E-2</v>
      </c>
      <c r="P126" s="16">
        <f t="shared" si="18"/>
        <v>-1.6232918443728778E-2</v>
      </c>
      <c r="Q126" s="16">
        <f t="shared" si="18"/>
        <v>-2.1967269258054253E-2</v>
      </c>
      <c r="R126" s="16">
        <f t="shared" si="18"/>
        <v>-1.465407844644653E-2</v>
      </c>
      <c r="S126" s="16">
        <f t="shared" si="18"/>
        <v>-3.3405198517477787E-2</v>
      </c>
      <c r="T126" s="16">
        <f t="shared" si="18"/>
        <v>0.90979377497435587</v>
      </c>
      <c r="U126" s="16">
        <f t="shared" si="18"/>
        <v>-0.15781442380740313</v>
      </c>
      <c r="V126" s="16">
        <f t="shared" si="18"/>
        <v>-2.3309053069719043E-2</v>
      </c>
      <c r="W126" s="16">
        <f t="shared" si="18"/>
        <v>-2.3278785683711434E-2</v>
      </c>
      <c r="X126" s="16">
        <f t="shared" si="18"/>
        <v>-1.2644059874789376E-2</v>
      </c>
      <c r="Y126" s="16">
        <f t="shared" si="18"/>
        <v>-1.305703282596736E-2</v>
      </c>
      <c r="Z126" s="16">
        <f t="shared" si="18"/>
        <v>-1.7305677770794049E-2</v>
      </c>
      <c r="AA126" s="16">
        <f t="shared" si="18"/>
        <v>-1.4453495966885586E-2</v>
      </c>
      <c r="AB126" s="16">
        <f t="shared" si="18"/>
        <v>-8.0550748243917326E-3</v>
      </c>
      <c r="AC126" s="16">
        <f t="shared" si="18"/>
        <v>-4.5688178183894918E-3</v>
      </c>
      <c r="AD126" s="16">
        <f t="shared" si="18"/>
        <v>-3.961760399621048E-3</v>
      </c>
      <c r="AE126" s="16">
        <f t="shared" si="18"/>
        <v>-1.166365492478468E-2</v>
      </c>
      <c r="AF126" s="16">
        <f t="shared" si="18"/>
        <v>-1.0093873019077421E-3</v>
      </c>
      <c r="AG126" s="16">
        <f t="shared" si="18"/>
        <v>-3.0179037603451147E-3</v>
      </c>
      <c r="AH126" s="16">
        <f t="shared" si="18"/>
        <v>-1.8463920902945295E-3</v>
      </c>
      <c r="AI126" s="16">
        <f t="shared" si="18"/>
        <v>-2.9083187148001102E-3</v>
      </c>
      <c r="AJ126" s="16">
        <f t="shared" si="18"/>
        <v>-3.4460356466966065E-3</v>
      </c>
      <c r="AK126" s="16">
        <f t="shared" si="18"/>
        <v>-1.6176527567902668E-3</v>
      </c>
      <c r="AL126" s="16">
        <f t="shared" si="18"/>
        <v>-4.5206630305778183E-3</v>
      </c>
      <c r="AM126" s="16">
        <f t="shared" si="18"/>
        <v>-4.5502042367246143E-3</v>
      </c>
      <c r="AN126" s="16">
        <f t="shared" si="18"/>
        <v>-4.6174753683170169E-3</v>
      </c>
      <c r="AO126" s="16">
        <f t="shared" si="18"/>
        <v>-9.815540545453224E-4</v>
      </c>
      <c r="AP126" s="16">
        <f t="shared" si="18"/>
        <v>-1.0608203677510608E-3</v>
      </c>
      <c r="AQ126" s="16">
        <f t="shared" si="18"/>
        <v>-2.3246513023046545E-3</v>
      </c>
      <c r="AR126" s="16">
        <f t="shared" si="18"/>
        <v>-2.4171655944367999E-3</v>
      </c>
      <c r="AS126" s="16">
        <f t="shared" si="18"/>
        <v>-5.9510119595216184E-3</v>
      </c>
      <c r="AT126" s="16">
        <f t="shared" si="18"/>
        <v>0</v>
      </c>
    </row>
    <row r="127" spans="2:46" x14ac:dyDescent="0.3">
      <c r="B127" s="16">
        <f t="shared" ref="B127:AT127" si="19">B76-B25</f>
        <v>-2.6255426437413508E-3</v>
      </c>
      <c r="C127" s="16">
        <f t="shared" si="19"/>
        <v>-4.2283298097251587E-3</v>
      </c>
      <c r="D127" s="16">
        <f t="shared" si="19"/>
        <v>-2.8195488721804727E-3</v>
      </c>
      <c r="E127" s="16">
        <f t="shared" si="19"/>
        <v>-5.862388151804997E-3</v>
      </c>
      <c r="F127" s="16">
        <f t="shared" si="19"/>
        <v>-4.6765393608729543E-3</v>
      </c>
      <c r="G127" s="16">
        <f t="shared" si="19"/>
        <v>-1.7632098544742463E-3</v>
      </c>
      <c r="H127" s="16">
        <f t="shared" si="19"/>
        <v>-4.1021816147678537E-3</v>
      </c>
      <c r="I127" s="16">
        <f t="shared" si="19"/>
        <v>-2.4433150899139952E-3</v>
      </c>
      <c r="J127" s="16">
        <f t="shared" si="19"/>
        <v>-2.6482213438735183E-3</v>
      </c>
      <c r="K127" s="16">
        <f t="shared" si="19"/>
        <v>-8.0863423328272498E-4</v>
      </c>
      <c r="L127" s="16">
        <f t="shared" si="19"/>
        <v>-1.8189599828803771E-3</v>
      </c>
      <c r="M127" s="16">
        <f t="shared" si="19"/>
        <v>-1.5936494572571188E-3</v>
      </c>
      <c r="N127" s="16">
        <f t="shared" si="19"/>
        <v>-8.0216511435119708E-3</v>
      </c>
      <c r="O127" s="16">
        <f t="shared" si="19"/>
        <v>-6.8617101492987487E-3</v>
      </c>
      <c r="P127" s="16">
        <f t="shared" si="19"/>
        <v>-9.7919749325441705E-3</v>
      </c>
      <c r="Q127" s="16">
        <f t="shared" si="19"/>
        <v>-1.1008097066953691E-2</v>
      </c>
      <c r="R127" s="16">
        <f t="shared" si="19"/>
        <v>-1.2179261030050601E-2</v>
      </c>
      <c r="S127" s="16">
        <f t="shared" si="19"/>
        <v>-1.613333010343742E-2</v>
      </c>
      <c r="T127" s="16">
        <f t="shared" si="19"/>
        <v>-1.4054534041673677E-2</v>
      </c>
      <c r="U127" s="16">
        <f t="shared" si="19"/>
        <v>0.84746417625022918</v>
      </c>
      <c r="V127" s="16">
        <f t="shared" si="19"/>
        <v>-2.95525494276795E-2</v>
      </c>
      <c r="W127" s="16">
        <f t="shared" si="19"/>
        <v>-7.0132692371011815E-3</v>
      </c>
      <c r="X127" s="16">
        <f t="shared" si="19"/>
        <v>-2.4353344895022343E-3</v>
      </c>
      <c r="Y127" s="16">
        <f t="shared" si="19"/>
        <v>-6.1250687694846878E-3</v>
      </c>
      <c r="Z127" s="16">
        <f t="shared" si="19"/>
        <v>-8.8344158111599968E-3</v>
      </c>
      <c r="AA127" s="16">
        <f t="shared" si="19"/>
        <v>-1.4345305118228555E-2</v>
      </c>
      <c r="AB127" s="16">
        <f t="shared" si="19"/>
        <v>-1.5982897281889438E-2</v>
      </c>
      <c r="AC127" s="16">
        <f t="shared" si="19"/>
        <v>-1.3706453455168473E-2</v>
      </c>
      <c r="AD127" s="16">
        <f t="shared" si="19"/>
        <v>-1.5502540694169321E-3</v>
      </c>
      <c r="AE127" s="16">
        <f t="shared" si="19"/>
        <v>-5.1160498462838235E-3</v>
      </c>
      <c r="AF127" s="16">
        <f t="shared" si="19"/>
        <v>-1.0093873019077421E-3</v>
      </c>
      <c r="AG127" s="16">
        <f t="shared" si="19"/>
        <v>-4.8138342189553977E-4</v>
      </c>
      <c r="AH127" s="16">
        <f t="shared" si="19"/>
        <v>-4.1692724619553888E-4</v>
      </c>
      <c r="AI127" s="16">
        <f t="shared" si="19"/>
        <v>-1.3156679900286213E-3</v>
      </c>
      <c r="AJ127" s="16">
        <f t="shared" si="19"/>
        <v>-1.4688020789198652E-3</v>
      </c>
      <c r="AK127" s="16">
        <f t="shared" si="19"/>
        <v>-4.8432717269169666E-4</v>
      </c>
      <c r="AL127" s="16">
        <f t="shared" si="19"/>
        <v>-1.5868994119137474E-3</v>
      </c>
      <c r="AM127" s="16">
        <f t="shared" si="19"/>
        <v>-1.8048826826256299E-3</v>
      </c>
      <c r="AN127" s="16">
        <f t="shared" si="19"/>
        <v>-3.8916514809895927E-3</v>
      </c>
      <c r="AO127" s="16">
        <f t="shared" si="19"/>
        <v>-7.5616016053861872E-4</v>
      </c>
      <c r="AP127" s="16">
        <f t="shared" si="19"/>
        <v>-3.6775106082036777E-4</v>
      </c>
      <c r="AQ127" s="16">
        <f t="shared" si="19"/>
        <v>-7.8738189271609254E-4</v>
      </c>
      <c r="AR127" s="16">
        <f t="shared" si="19"/>
        <v>-1.0040534007660555E-3</v>
      </c>
      <c r="AS127" s="16">
        <f t="shared" si="19"/>
        <v>-2.3861545538178472E-3</v>
      </c>
      <c r="AT127" s="16">
        <f t="shared" si="19"/>
        <v>0</v>
      </c>
    </row>
    <row r="128" spans="2:46" x14ac:dyDescent="0.3">
      <c r="B128" s="16">
        <f t="shared" ref="B128:AT128" si="20">B77-B26</f>
        <v>-9.4784932987052368E-5</v>
      </c>
      <c r="C128" s="16">
        <f t="shared" si="20"/>
        <v>0</v>
      </c>
      <c r="D128" s="16">
        <f t="shared" si="20"/>
        <v>0</v>
      </c>
      <c r="E128" s="16">
        <f t="shared" si="20"/>
        <v>0</v>
      </c>
      <c r="F128" s="16">
        <f t="shared" si="20"/>
        <v>0</v>
      </c>
      <c r="G128" s="16">
        <f t="shared" si="20"/>
        <v>-8.1253910344435308E-5</v>
      </c>
      <c r="H128" s="16">
        <f t="shared" si="20"/>
        <v>-6.2154266890422036E-5</v>
      </c>
      <c r="I128" s="16">
        <f t="shared" si="20"/>
        <v>-9.7732603596559811E-5</v>
      </c>
      <c r="J128" s="16">
        <f t="shared" si="20"/>
        <v>-3.9525691699604751E-5</v>
      </c>
      <c r="K128" s="16">
        <f t="shared" si="20"/>
        <v>-1.6502739454749489E-5</v>
      </c>
      <c r="L128" s="16">
        <f t="shared" si="20"/>
        <v>-2.6749411512946726E-5</v>
      </c>
      <c r="M128" s="16">
        <f t="shared" si="20"/>
        <v>-3.0068857684096583E-5</v>
      </c>
      <c r="N128" s="16">
        <f t="shared" si="20"/>
        <v>-7.314575510801189E-5</v>
      </c>
      <c r="O128" s="16">
        <f t="shared" si="20"/>
        <v>-3.7701704117026095E-5</v>
      </c>
      <c r="P128" s="16">
        <f t="shared" si="20"/>
        <v>-2.6024893376272947E-2</v>
      </c>
      <c r="Q128" s="16">
        <f t="shared" si="20"/>
        <v>-2.9354925511876508E-4</v>
      </c>
      <c r="R128" s="16">
        <f t="shared" si="20"/>
        <v>-2.738095864948687E-4</v>
      </c>
      <c r="S128" s="16">
        <f t="shared" si="20"/>
        <v>-9.4474455560669593E-4</v>
      </c>
      <c r="T128" s="16">
        <f t="shared" si="20"/>
        <v>-1.9902934917402811E-3</v>
      </c>
      <c r="U128" s="16">
        <f t="shared" si="20"/>
        <v>-4.7808660571608207E-4</v>
      </c>
      <c r="V128" s="16">
        <f t="shared" si="20"/>
        <v>0.80270551508844956</v>
      </c>
      <c r="W128" s="16">
        <f t="shared" si="20"/>
        <v>-7.3096045569786957E-3</v>
      </c>
      <c r="X128" s="16">
        <f t="shared" si="20"/>
        <v>-7.3798014833401028E-5</v>
      </c>
      <c r="Y128" s="16">
        <f t="shared" si="20"/>
        <v>-1.1003117549972493E-4</v>
      </c>
      <c r="Z128" s="16">
        <f t="shared" si="20"/>
        <v>-5.0981213771911444E-4</v>
      </c>
      <c r="AA128" s="16">
        <f t="shared" si="20"/>
        <v>-7.1726525591142771E-4</v>
      </c>
      <c r="AB128" s="16">
        <f t="shared" si="20"/>
        <v>-1.5270284027282905E-3</v>
      </c>
      <c r="AC128" s="16">
        <f t="shared" si="20"/>
        <v>-5.7110222729868647E-4</v>
      </c>
      <c r="AD128" s="16">
        <f t="shared" si="20"/>
        <v>-6.0287658255102914E-4</v>
      </c>
      <c r="AE128" s="16">
        <f t="shared" si="20"/>
        <v>-3.1447278871652856E-3</v>
      </c>
      <c r="AF128" s="16">
        <f t="shared" si="20"/>
        <v>-1.0093873019077422E-4</v>
      </c>
      <c r="AG128" s="16">
        <f t="shared" si="20"/>
        <v>-1.8514746995982298E-5</v>
      </c>
      <c r="AH128" s="16">
        <f t="shared" si="20"/>
        <v>-2.9780517585395638E-5</v>
      </c>
      <c r="AI128" s="16">
        <f t="shared" si="20"/>
        <v>-4.6163789123811277E-5</v>
      </c>
      <c r="AJ128" s="16">
        <f t="shared" si="20"/>
        <v>-1.1298477530152808E-4</v>
      </c>
      <c r="AK128" s="16">
        <f t="shared" si="20"/>
        <v>-9.6865434538339347E-6</v>
      </c>
      <c r="AL128" s="16">
        <f t="shared" si="20"/>
        <v>-3.3338222939364443E-5</v>
      </c>
      <c r="AM128" s="16">
        <f t="shared" si="20"/>
        <v>-6.6495677780944263E-5</v>
      </c>
      <c r="AN128" s="16">
        <f t="shared" si="20"/>
        <v>-2.208357784847269E-3</v>
      </c>
      <c r="AO128" s="16">
        <f t="shared" si="20"/>
        <v>-6.4709859892247176E-4</v>
      </c>
      <c r="AP128" s="16">
        <f t="shared" si="20"/>
        <v>-5.6577086280056583E-5</v>
      </c>
      <c r="AQ128" s="16">
        <f t="shared" si="20"/>
        <v>-1.1248312753087037E-4</v>
      </c>
      <c r="AR128" s="16">
        <f t="shared" si="20"/>
        <v>-1.8593581495667693E-4</v>
      </c>
      <c r="AS128" s="16">
        <f t="shared" si="20"/>
        <v>-1.4374425022999077E-4</v>
      </c>
      <c r="AT128" s="16">
        <f t="shared" si="20"/>
        <v>0</v>
      </c>
    </row>
    <row r="129" spans="2:46" x14ac:dyDescent="0.3">
      <c r="B129" s="16">
        <f t="shared" ref="B129:AT129" si="21">B78-B27</f>
        <v>-8.8149987677958708E-4</v>
      </c>
      <c r="C129" s="16">
        <f t="shared" si="21"/>
        <v>-2.1141649048625794E-3</v>
      </c>
      <c r="D129" s="16">
        <f t="shared" si="21"/>
        <v>-1.8796992481203154E-3</v>
      </c>
      <c r="E129" s="16">
        <f t="shared" si="21"/>
        <v>-7.4051218759642063E-3</v>
      </c>
      <c r="F129" s="16">
        <f t="shared" si="21"/>
        <v>-7.0148090413094319E-3</v>
      </c>
      <c r="G129" s="16">
        <f t="shared" si="21"/>
        <v>-2.3319872268852933E-3</v>
      </c>
      <c r="H129" s="16">
        <f t="shared" si="21"/>
        <v>-2.4488781154826281E-2</v>
      </c>
      <c r="I129" s="16">
        <f t="shared" si="21"/>
        <v>-6.8412822517591862E-3</v>
      </c>
      <c r="J129" s="16">
        <f t="shared" si="21"/>
        <v>-4.2687747035573135E-3</v>
      </c>
      <c r="K129" s="16">
        <f t="shared" si="21"/>
        <v>-9.2415340946597133E-3</v>
      </c>
      <c r="L129" s="16">
        <f t="shared" si="21"/>
        <v>-7.6770811042157095E-3</v>
      </c>
      <c r="M129" s="16">
        <f t="shared" si="21"/>
        <v>-5.0515680909282261E-3</v>
      </c>
      <c r="N129" s="16">
        <f t="shared" si="21"/>
        <v>-7.4608670210172126E-3</v>
      </c>
      <c r="O129" s="16">
        <f t="shared" si="21"/>
        <v>-3.1292414417131661E-3</v>
      </c>
      <c r="P129" s="16">
        <f t="shared" si="21"/>
        <v>-4.1343894159630943E-3</v>
      </c>
      <c r="Q129" s="16">
        <f t="shared" si="21"/>
        <v>-5.0147997749455707E-3</v>
      </c>
      <c r="R129" s="16">
        <f t="shared" si="21"/>
        <v>-5.7815947302185724E-3</v>
      </c>
      <c r="S129" s="16">
        <f t="shared" si="21"/>
        <v>-5.0144134105278475E-3</v>
      </c>
      <c r="T129" s="16">
        <f t="shared" si="21"/>
        <v>-1.1543702252093632E-2</v>
      </c>
      <c r="U129" s="16">
        <f t="shared" si="21"/>
        <v>-7.3153799806145716E-3</v>
      </c>
      <c r="V129" s="16">
        <f t="shared" si="21"/>
        <v>-5.2029136316337149E-3</v>
      </c>
      <c r="W129" s="16">
        <f t="shared" si="21"/>
        <v>0.96862138223963645</v>
      </c>
      <c r="X129" s="16">
        <f t="shared" si="21"/>
        <v>-2.0995535220102592E-2</v>
      </c>
      <c r="Y129" s="16">
        <f t="shared" si="21"/>
        <v>-3.9611223179900979E-3</v>
      </c>
      <c r="Z129" s="16">
        <f t="shared" si="21"/>
        <v>-5.6079335149102584E-3</v>
      </c>
      <c r="AA129" s="16">
        <f t="shared" si="21"/>
        <v>-2.035590782139694E-3</v>
      </c>
      <c r="AB129" s="16">
        <f t="shared" si="21"/>
        <v>-1.4723098849638601E-2</v>
      </c>
      <c r="AC129" s="16">
        <f t="shared" si="21"/>
        <v>-1.085094231867504E-2</v>
      </c>
      <c r="AD129" s="16">
        <f t="shared" si="21"/>
        <v>-1.1885281198863146E-2</v>
      </c>
      <c r="AE129" s="16">
        <f t="shared" si="21"/>
        <v>-1.8586749900260494E-2</v>
      </c>
      <c r="AF129" s="16">
        <f t="shared" si="21"/>
        <v>-1.3122034924800648E-3</v>
      </c>
      <c r="AG129" s="16">
        <f t="shared" si="21"/>
        <v>-8.3316361481920341E-4</v>
      </c>
      <c r="AH129" s="16">
        <f t="shared" si="21"/>
        <v>-1.1316596682450341E-3</v>
      </c>
      <c r="AI129" s="16">
        <f t="shared" si="21"/>
        <v>-4.8702797525620898E-3</v>
      </c>
      <c r="AJ129" s="16">
        <f t="shared" si="21"/>
        <v>-1.5535406603960111E-3</v>
      </c>
      <c r="AK129" s="16">
        <f t="shared" si="21"/>
        <v>-1.753264365143942E-3</v>
      </c>
      <c r="AL129" s="16">
        <f t="shared" si="21"/>
        <v>-1.493552387683527E-3</v>
      </c>
      <c r="AM129" s="16">
        <f t="shared" si="21"/>
        <v>-2.0803647762895417E-3</v>
      </c>
      <c r="AN129" s="16">
        <f t="shared" si="21"/>
        <v>-1.8222812490348093E-3</v>
      </c>
      <c r="AO129" s="16">
        <f t="shared" si="21"/>
        <v>-2.1085235245788406E-3</v>
      </c>
      <c r="AP129" s="16">
        <f t="shared" si="21"/>
        <v>-2.5459688826025458E-3</v>
      </c>
      <c r="AQ129" s="16">
        <f t="shared" si="21"/>
        <v>-2.2059191121331801E-2</v>
      </c>
      <c r="AR129" s="16">
        <f t="shared" si="21"/>
        <v>-2.6402885723848125E-3</v>
      </c>
      <c r="AS129" s="16">
        <f t="shared" si="21"/>
        <v>-1.9836706531738729E-3</v>
      </c>
      <c r="AT129" s="16">
        <f t="shared" si="21"/>
        <v>0</v>
      </c>
    </row>
    <row r="130" spans="2:46" x14ac:dyDescent="0.3">
      <c r="B130" s="16">
        <f t="shared" ref="B130:AT130" si="22">B79-B28</f>
        <v>-2.1592007734450532E-2</v>
      </c>
      <c r="C130" s="16">
        <f t="shared" si="22"/>
        <v>-2.9598308668076105E-2</v>
      </c>
      <c r="D130" s="16">
        <f t="shared" si="22"/>
        <v>-1.0338345864661735E-2</v>
      </c>
      <c r="E130" s="16">
        <f t="shared" si="22"/>
        <v>-4.2887997531626032E-2</v>
      </c>
      <c r="F130" s="16">
        <f t="shared" si="22"/>
        <v>-1.3639906469212785E-2</v>
      </c>
      <c r="G130" s="16">
        <f t="shared" si="22"/>
        <v>-2.2336699953685264E-2</v>
      </c>
      <c r="H130" s="16">
        <f t="shared" si="22"/>
        <v>-1.2741624712536516E-2</v>
      </c>
      <c r="I130" s="16">
        <f t="shared" si="22"/>
        <v>-3.0883502736512899E-2</v>
      </c>
      <c r="J130" s="16">
        <f t="shared" si="22"/>
        <v>-4.3833992094861669E-2</v>
      </c>
      <c r="K130" s="16">
        <f t="shared" si="22"/>
        <v>-4.0976302066142979E-2</v>
      </c>
      <c r="L130" s="16">
        <f t="shared" si="22"/>
        <v>-8.6855339182538016E-2</v>
      </c>
      <c r="M130" s="16">
        <f t="shared" si="22"/>
        <v>-2.7272453919475602E-2</v>
      </c>
      <c r="N130" s="16">
        <f t="shared" si="22"/>
        <v>-2.6966401716487048E-2</v>
      </c>
      <c r="O130" s="16">
        <f t="shared" si="22"/>
        <v>-7.2538078721158208E-2</v>
      </c>
      <c r="P130" s="16">
        <f t="shared" si="22"/>
        <v>-6.1624162242144641E-2</v>
      </c>
      <c r="Q130" s="16">
        <f t="shared" si="22"/>
        <v>-1.5729347586780497E-2</v>
      </c>
      <c r="R130" s="16">
        <f t="shared" si="22"/>
        <v>-6.6609447483847858E-3</v>
      </c>
      <c r="S130" s="16">
        <f t="shared" si="22"/>
        <v>-1.2548145636006883E-2</v>
      </c>
      <c r="T130" s="16">
        <f t="shared" si="22"/>
        <v>-1.4728171838878082E-2</v>
      </c>
      <c r="U130" s="16">
        <f t="shared" si="22"/>
        <v>-1.2004558195583267E-2</v>
      </c>
      <c r="V130" s="16">
        <f t="shared" si="22"/>
        <v>-2.2268470343392299E-2</v>
      </c>
      <c r="W130" s="16">
        <f t="shared" si="22"/>
        <v>-1.2413157288202562E-2</v>
      </c>
      <c r="X130" s="16">
        <f t="shared" si="22"/>
        <v>0.93948562783661116</v>
      </c>
      <c r="Y130" s="16">
        <f t="shared" si="22"/>
        <v>-6.1030625343847435E-2</v>
      </c>
      <c r="Z130" s="16">
        <f t="shared" si="22"/>
        <v>-7.472588867937704E-3</v>
      </c>
      <c r="AA130" s="16">
        <f t="shared" si="22"/>
        <v>-2.5012121382118058E-2</v>
      </c>
      <c r="AB130" s="16">
        <f t="shared" si="22"/>
        <v>-1.514303166038888E-2</v>
      </c>
      <c r="AC130" s="16">
        <f t="shared" si="22"/>
        <v>-8.5665334094802963E-3</v>
      </c>
      <c r="AD130" s="16">
        <f t="shared" si="22"/>
        <v>-2.7560072345189906E-3</v>
      </c>
      <c r="AE130" s="16">
        <f t="shared" si="22"/>
        <v>-4.703010959611368E-2</v>
      </c>
      <c r="AF130" s="16">
        <f t="shared" si="22"/>
        <v>-1.0598566670031293E-2</v>
      </c>
      <c r="AG130" s="16">
        <f t="shared" si="22"/>
        <v>-3.3530206809723941E-2</v>
      </c>
      <c r="AH130" s="16">
        <f t="shared" si="22"/>
        <v>-6.8495190446409967E-3</v>
      </c>
      <c r="AI130" s="16">
        <f t="shared" si="22"/>
        <v>-1.6711291662819684E-2</v>
      </c>
      <c r="AJ130" s="16">
        <f t="shared" si="22"/>
        <v>-9.8014292574075627E-3</v>
      </c>
      <c r="AK130" s="16">
        <f t="shared" si="22"/>
        <v>-6.6159091789685766E-3</v>
      </c>
      <c r="AL130" s="16">
        <f t="shared" si="22"/>
        <v>-1.7215858325887796E-2</v>
      </c>
      <c r="AM130" s="16">
        <f t="shared" si="22"/>
        <v>-1.4743041702289355E-2</v>
      </c>
      <c r="AN130" s="16">
        <f t="shared" si="22"/>
        <v>-9.5592550267164997E-3</v>
      </c>
      <c r="AO130" s="16">
        <f t="shared" si="22"/>
        <v>-2.6465605618851654E-2</v>
      </c>
      <c r="AP130" s="16">
        <f t="shared" si="22"/>
        <v>-3.1753889674681755E-2</v>
      </c>
      <c r="AQ130" s="16">
        <f t="shared" si="22"/>
        <v>-2.3858921161825728E-2</v>
      </c>
      <c r="AR130" s="16">
        <f t="shared" si="22"/>
        <v>-5.0611728831207459E-2</v>
      </c>
      <c r="AS130" s="16">
        <f t="shared" si="22"/>
        <v>-1.9606715731370742E-2</v>
      </c>
      <c r="AT130" s="16">
        <f t="shared" si="22"/>
        <v>0</v>
      </c>
    </row>
    <row r="131" spans="2:46" x14ac:dyDescent="0.3">
      <c r="B131" s="16">
        <f t="shared" ref="B131:AT131" si="23">B80-B29</f>
        <v>-3.3269511478455382E-3</v>
      </c>
      <c r="C131" s="16">
        <f t="shared" si="23"/>
        <v>-4.2283298097251587E-3</v>
      </c>
      <c r="D131" s="16">
        <f t="shared" si="23"/>
        <v>-2.8195488721804727E-3</v>
      </c>
      <c r="E131" s="16">
        <f t="shared" si="23"/>
        <v>-5.862388151804997E-3</v>
      </c>
      <c r="F131" s="16">
        <f t="shared" si="23"/>
        <v>-8.1839438815276711E-3</v>
      </c>
      <c r="G131" s="16">
        <f t="shared" si="23"/>
        <v>-5.6471467689382538E-3</v>
      </c>
      <c r="H131" s="16">
        <f t="shared" si="23"/>
        <v>-2.6726334762881472E-3</v>
      </c>
      <c r="I131" s="16">
        <f t="shared" si="23"/>
        <v>-1.2412040656763094E-2</v>
      </c>
      <c r="J131" s="16">
        <f t="shared" si="23"/>
        <v>-6.7588932806324125E-3</v>
      </c>
      <c r="K131" s="16">
        <f t="shared" si="23"/>
        <v>-4.8683081391510986E-3</v>
      </c>
      <c r="L131" s="16">
        <f t="shared" si="23"/>
        <v>-1.7092873956772957E-2</v>
      </c>
      <c r="M131" s="16">
        <f t="shared" si="23"/>
        <v>-1.0193342754908741E-2</v>
      </c>
      <c r="N131" s="16">
        <f t="shared" si="23"/>
        <v>-4.6569464085434243E-3</v>
      </c>
      <c r="O131" s="16">
        <f t="shared" si="23"/>
        <v>-6.1076760669582274E-3</v>
      </c>
      <c r="P131" s="16">
        <f t="shared" si="23"/>
        <v>-5.709809382887978E-2</v>
      </c>
      <c r="Q131" s="16">
        <f t="shared" si="23"/>
        <v>-2.3483940409501206E-3</v>
      </c>
      <c r="R131" s="16">
        <f t="shared" si="23"/>
        <v>-8.6355331125304729E-4</v>
      </c>
      <c r="S131" s="16">
        <f t="shared" si="23"/>
        <v>-1.5987984787190239E-3</v>
      </c>
      <c r="T131" s="16">
        <f t="shared" si="23"/>
        <v>-1.8218840424391806E-3</v>
      </c>
      <c r="U131" s="16">
        <f t="shared" si="23"/>
        <v>-2.0695255809079719E-3</v>
      </c>
      <c r="V131" s="16">
        <f t="shared" si="23"/>
        <v>-3.1217481789802288E-3</v>
      </c>
      <c r="W131" s="16">
        <f t="shared" si="23"/>
        <v>-2.1401995324487172E-3</v>
      </c>
      <c r="X131" s="16">
        <f t="shared" si="23"/>
        <v>-3.800597763920153E-3</v>
      </c>
      <c r="Y131" s="16">
        <f t="shared" si="23"/>
        <v>0.91039794608472402</v>
      </c>
      <c r="Z131" s="16">
        <f t="shared" si="23"/>
        <v>-3.8759689922480615E-3</v>
      </c>
      <c r="AA131" s="16">
        <f t="shared" si="23"/>
        <v>-6.4073024815775028E-3</v>
      </c>
      <c r="AB131" s="16">
        <f t="shared" si="23"/>
        <v>-1.6288302962435099E-3</v>
      </c>
      <c r="AC131" s="16">
        <f t="shared" si="23"/>
        <v>-5.1399200456881773E-3</v>
      </c>
      <c r="AD131" s="16">
        <f t="shared" si="23"/>
        <v>-9.4737748686590296E-4</v>
      </c>
      <c r="AE131" s="16">
        <f t="shared" si="23"/>
        <v>-2.1590669076060167E-3</v>
      </c>
      <c r="AF131" s="16">
        <f t="shared" si="23"/>
        <v>-1.5140809528616133E-3</v>
      </c>
      <c r="AG131" s="16">
        <f t="shared" si="23"/>
        <v>-7.4429282923848842E-3</v>
      </c>
      <c r="AH131" s="16">
        <f t="shared" si="23"/>
        <v>-1.221001221001221E-3</v>
      </c>
      <c r="AI131" s="16">
        <f t="shared" si="23"/>
        <v>-1.3618317791524327E-3</v>
      </c>
      <c r="AJ131" s="16">
        <f t="shared" si="23"/>
        <v>-9.603705900629887E-4</v>
      </c>
      <c r="AK131" s="16">
        <f t="shared" si="23"/>
        <v>-2.005114494943624E-3</v>
      </c>
      <c r="AL131" s="16">
        <f t="shared" si="23"/>
        <v>-3.9539132406086223E-3</v>
      </c>
      <c r="AM131" s="16">
        <f t="shared" si="23"/>
        <v>-2.2133561318514305E-3</v>
      </c>
      <c r="AN131" s="16">
        <f t="shared" si="23"/>
        <v>-3.9070945424220915E-3</v>
      </c>
      <c r="AO131" s="16">
        <f t="shared" si="23"/>
        <v>-6.8708783818172562E-3</v>
      </c>
      <c r="AP131" s="16">
        <f t="shared" si="23"/>
        <v>-6.067892503536068E-3</v>
      </c>
      <c r="AQ131" s="16">
        <f t="shared" si="23"/>
        <v>-9.1986202069689535E-3</v>
      </c>
      <c r="AR131" s="16">
        <f t="shared" si="23"/>
        <v>-1.4205496262690118E-2</v>
      </c>
      <c r="AS131" s="16">
        <f t="shared" si="23"/>
        <v>-7.4172033118675247E-3</v>
      </c>
      <c r="AT131" s="16">
        <f t="shared" si="23"/>
        <v>0</v>
      </c>
    </row>
    <row r="132" spans="2:46" x14ac:dyDescent="0.3">
      <c r="B132" s="16">
        <f t="shared" ref="B132:AT132" si="24">B81-B30</f>
        <v>-1.3269890618187333E-3</v>
      </c>
      <c r="C132" s="16">
        <f t="shared" si="24"/>
        <v>-4.2283298097251587E-3</v>
      </c>
      <c r="D132" s="16">
        <f t="shared" si="24"/>
        <v>-1.8796992481203154E-3</v>
      </c>
      <c r="E132" s="16">
        <f t="shared" si="24"/>
        <v>-1.3884603517432887E-2</v>
      </c>
      <c r="F132" s="16">
        <f t="shared" si="24"/>
        <v>-1.2081060015588466E-2</v>
      </c>
      <c r="G132" s="16">
        <f t="shared" si="24"/>
        <v>-2.2832348806786323E-3</v>
      </c>
      <c r="H132" s="16">
        <f t="shared" si="24"/>
        <v>-1.8646280067126609E-3</v>
      </c>
      <c r="I132" s="16">
        <f t="shared" si="24"/>
        <v>-2.9319781078967944E-3</v>
      </c>
      <c r="J132" s="16">
        <f t="shared" si="24"/>
        <v>-2.490118577075099E-3</v>
      </c>
      <c r="K132" s="16">
        <f t="shared" si="24"/>
        <v>-3.8451382929566309E-3</v>
      </c>
      <c r="L132" s="16">
        <f t="shared" si="24"/>
        <v>-2.8086882088594061E-3</v>
      </c>
      <c r="M132" s="16">
        <f t="shared" si="24"/>
        <v>-1.8041314610457949E-3</v>
      </c>
      <c r="N132" s="16">
        <f t="shared" si="24"/>
        <v>-2.7063929389964398E-3</v>
      </c>
      <c r="O132" s="16">
        <f t="shared" si="24"/>
        <v>-8.5205851304478979E-3</v>
      </c>
      <c r="P132" s="16">
        <f t="shared" si="24"/>
        <v>-2.5241535381669415E-3</v>
      </c>
      <c r="Q132" s="16">
        <f t="shared" si="24"/>
        <v>-4.1830768854424034E-3</v>
      </c>
      <c r="R132" s="16">
        <f t="shared" si="24"/>
        <v>-2.4274272956564319E-3</v>
      </c>
      <c r="S132" s="16">
        <f t="shared" si="24"/>
        <v>-2.519318814951189E-3</v>
      </c>
      <c r="T132" s="16">
        <f t="shared" si="24"/>
        <v>-4.271476032273373E-3</v>
      </c>
      <c r="U132" s="16">
        <f t="shared" si="24"/>
        <v>-3.5365310559819772E-3</v>
      </c>
      <c r="V132" s="16">
        <f t="shared" si="24"/>
        <v>-4.1623309053069723E-3</v>
      </c>
      <c r="W132" s="16">
        <f t="shared" si="24"/>
        <v>-3.8194330117546338E-3</v>
      </c>
      <c r="X132" s="16">
        <f t="shared" si="24"/>
        <v>-1.3800228773845994E-2</v>
      </c>
      <c r="Y132" s="16">
        <f t="shared" si="24"/>
        <v>-1.522097927746195E-2</v>
      </c>
      <c r="Z132" s="16">
        <f t="shared" si="24"/>
        <v>0.96394999650813606</v>
      </c>
      <c r="AA132" s="16">
        <f t="shared" si="24"/>
        <v>-3.2577466651172666E-3</v>
      </c>
      <c r="AB132" s="16">
        <f t="shared" si="24"/>
        <v>-4.2120533441922011E-3</v>
      </c>
      <c r="AC132" s="16">
        <f t="shared" si="24"/>
        <v>-6.2821245002855509E-3</v>
      </c>
      <c r="AD132" s="16">
        <f t="shared" si="24"/>
        <v>-3.7895099474636118E-3</v>
      </c>
      <c r="AE132" s="16">
        <f t="shared" si="24"/>
        <v>-3.7337776630447531E-2</v>
      </c>
      <c r="AF132" s="16">
        <f t="shared" si="24"/>
        <v>-2.2206520641970331E-3</v>
      </c>
      <c r="AG132" s="16">
        <f t="shared" si="24"/>
        <v>-3.2771102182888668E-3</v>
      </c>
      <c r="AH132" s="16">
        <f t="shared" si="24"/>
        <v>-2.5909050299294202E-3</v>
      </c>
      <c r="AI132" s="16">
        <f t="shared" si="24"/>
        <v>-6.2782753208383332E-3</v>
      </c>
      <c r="AJ132" s="16">
        <f t="shared" si="24"/>
        <v>-2.4574188628082357E-3</v>
      </c>
      <c r="AK132" s="16">
        <f t="shared" si="24"/>
        <v>-2.8090976016118406E-3</v>
      </c>
      <c r="AL132" s="16">
        <f t="shared" si="24"/>
        <v>-1.7642587579511666E-2</v>
      </c>
      <c r="AM132" s="16">
        <f t="shared" si="24"/>
        <v>-6.564073335233212E-3</v>
      </c>
      <c r="AN132" s="16">
        <f t="shared" si="24"/>
        <v>-3.212156777959664E-3</v>
      </c>
      <c r="AO132" s="16">
        <f t="shared" si="24"/>
        <v>-1.56612402480787E-2</v>
      </c>
      <c r="AP132" s="16">
        <f t="shared" si="24"/>
        <v>-7.9632248939179636E-3</v>
      </c>
      <c r="AQ132" s="16">
        <f t="shared" si="24"/>
        <v>-4.3493475978603211E-3</v>
      </c>
      <c r="AR132" s="16">
        <f t="shared" si="24"/>
        <v>-1.0114908333643225E-2</v>
      </c>
      <c r="AS132" s="16">
        <f t="shared" si="24"/>
        <v>-6.842226310947561E-3</v>
      </c>
      <c r="AT132" s="16">
        <f t="shared" si="24"/>
        <v>0</v>
      </c>
    </row>
    <row r="133" spans="2:46" x14ac:dyDescent="0.3">
      <c r="B133" s="16">
        <f t="shared" ref="B133:AT133" si="25">B82-B31</f>
        <v>-9.0623874428920781E-2</v>
      </c>
      <c r="C133" s="16">
        <f t="shared" si="25"/>
        <v>-7.8224101479915431E-2</v>
      </c>
      <c r="D133" s="16">
        <f t="shared" si="25"/>
        <v>-3.2894736842105518E-2</v>
      </c>
      <c r="E133" s="16">
        <f t="shared" si="25"/>
        <v>-4.7207651959271818E-2</v>
      </c>
      <c r="F133" s="16">
        <f t="shared" si="25"/>
        <v>-4.1309431021044431E-2</v>
      </c>
      <c r="G133" s="16">
        <f t="shared" si="25"/>
        <v>-0.10767768198844568</v>
      </c>
      <c r="H133" s="16">
        <f t="shared" si="25"/>
        <v>-0.15053763440860216</v>
      </c>
      <c r="I133" s="16">
        <f t="shared" si="25"/>
        <v>-9.0500390930414371E-2</v>
      </c>
      <c r="J133" s="16">
        <f t="shared" si="25"/>
        <v>-9.6482213438735198E-2</v>
      </c>
      <c r="K133" s="16">
        <f t="shared" si="25"/>
        <v>-8.789359033599578E-2</v>
      </c>
      <c r="L133" s="16">
        <f t="shared" si="25"/>
        <v>-0.11753691418788791</v>
      </c>
      <c r="M133" s="16">
        <f t="shared" si="25"/>
        <v>-8.3862044080945358E-2</v>
      </c>
      <c r="N133" s="16">
        <f t="shared" si="25"/>
        <v>-0.11025503486614326</v>
      </c>
      <c r="O133" s="16">
        <f t="shared" si="25"/>
        <v>-7.559191675463732E-2</v>
      </c>
      <c r="P133" s="16">
        <f t="shared" si="25"/>
        <v>-7.7683001131517077E-2</v>
      </c>
      <c r="Q133" s="16">
        <f t="shared" si="25"/>
        <v>-6.8910687639130108E-2</v>
      </c>
      <c r="R133" s="16">
        <f t="shared" si="25"/>
        <v>-0.11700620810581686</v>
      </c>
      <c r="S133" s="16">
        <f t="shared" si="25"/>
        <v>-9.4474455560669593E-2</v>
      </c>
      <c r="T133" s="16">
        <f t="shared" si="25"/>
        <v>-7.3487759695025773E-2</v>
      </c>
      <c r="U133" s="16">
        <f t="shared" si="25"/>
        <v>-9.5479789379928237E-2</v>
      </c>
      <c r="V133" s="16">
        <f t="shared" si="25"/>
        <v>-6.8054110301769E-2</v>
      </c>
      <c r="W133" s="16">
        <f t="shared" si="25"/>
        <v>-8.1426360673010428E-2</v>
      </c>
      <c r="X133" s="16">
        <f t="shared" si="25"/>
        <v>-4.5828567211542041E-2</v>
      </c>
      <c r="Y133" s="16">
        <f t="shared" si="25"/>
        <v>-3.2202457362919497E-2</v>
      </c>
      <c r="Z133" s="16">
        <f t="shared" si="25"/>
        <v>-6.1994552692227103E-2</v>
      </c>
      <c r="AA133" s="16">
        <f t="shared" si="25"/>
        <v>0.93393946922371063</v>
      </c>
      <c r="AB133" s="16">
        <f t="shared" si="25"/>
        <v>-5.9935864807085404E-2</v>
      </c>
      <c r="AC133" s="16">
        <f t="shared" si="25"/>
        <v>-8.5094231867504269E-2</v>
      </c>
      <c r="AD133" s="16">
        <f t="shared" si="25"/>
        <v>-4.5301868917405903E-2</v>
      </c>
      <c r="AE133" s="16">
        <f t="shared" si="25"/>
        <v>-2.9734106216704605E-2</v>
      </c>
      <c r="AF133" s="16">
        <f t="shared" si="25"/>
        <v>-3.5631371757343294E-2</v>
      </c>
      <c r="AG133" s="16">
        <f t="shared" si="25"/>
        <v>-9.051859806335745E-2</v>
      </c>
      <c r="AH133" s="16">
        <f t="shared" si="25"/>
        <v>-2.3556389410047947E-2</v>
      </c>
      <c r="AI133" s="16">
        <f t="shared" si="25"/>
        <v>-2.1720062782753204E-2</v>
      </c>
      <c r="AJ133" s="16">
        <f t="shared" si="25"/>
        <v>-2.1410614919639571E-2</v>
      </c>
      <c r="AK133" s="16">
        <f t="shared" si="25"/>
        <v>-1.5721260025572475E-2</v>
      </c>
      <c r="AL133" s="16">
        <f t="shared" si="25"/>
        <v>-1.735587886223313E-2</v>
      </c>
      <c r="AM133" s="16">
        <f t="shared" si="25"/>
        <v>-2.4137931034482765E-2</v>
      </c>
      <c r="AN133" s="16">
        <f t="shared" si="25"/>
        <v>-3.8947400932760924E-2</v>
      </c>
      <c r="AO133" s="16">
        <f t="shared" si="25"/>
        <v>-1.1618691697506853E-2</v>
      </c>
      <c r="AP133" s="16">
        <f t="shared" si="25"/>
        <v>-1.4582743988684583E-2</v>
      </c>
      <c r="AQ133" s="16">
        <f t="shared" si="25"/>
        <v>-5.4291856221566764E-2</v>
      </c>
      <c r="AR133" s="16">
        <f t="shared" si="25"/>
        <v>-3.0567847978877689E-2</v>
      </c>
      <c r="AS133" s="16">
        <f t="shared" si="25"/>
        <v>-3.0330036798528054E-2</v>
      </c>
      <c r="AT133" s="16">
        <f t="shared" si="25"/>
        <v>0</v>
      </c>
    </row>
    <row r="134" spans="2:46" x14ac:dyDescent="0.3">
      <c r="B134" s="16">
        <f t="shared" ref="B134:AT134" si="26">B83-B32</f>
        <v>-1.3601637883642015E-2</v>
      </c>
      <c r="C134" s="16">
        <f t="shared" si="26"/>
        <v>-1.9027484143763214E-2</v>
      </c>
      <c r="D134" s="16">
        <f t="shared" si="26"/>
        <v>-4.5112781954887562E-2</v>
      </c>
      <c r="E134" s="16">
        <f t="shared" si="26"/>
        <v>-7.8987966676951543E-2</v>
      </c>
      <c r="F134" s="16">
        <f t="shared" si="26"/>
        <v>-4.6765393608729548E-2</v>
      </c>
      <c r="G134" s="16">
        <f t="shared" si="26"/>
        <v>-2.2864850370924096E-2</v>
      </c>
      <c r="H134" s="16">
        <f t="shared" si="26"/>
        <v>-1.5538566722605509E-2</v>
      </c>
      <c r="I134" s="16">
        <f t="shared" si="26"/>
        <v>-1.7689601250977325E-2</v>
      </c>
      <c r="J134" s="16">
        <f t="shared" si="26"/>
        <v>-2.0079051383399212E-2</v>
      </c>
      <c r="K134" s="16">
        <f t="shared" si="26"/>
        <v>-2.2757277708099544E-2</v>
      </c>
      <c r="L134" s="16">
        <f t="shared" si="26"/>
        <v>-1.925957628932164E-2</v>
      </c>
      <c r="M134" s="16">
        <f t="shared" si="26"/>
        <v>-8.6598310130198159E-3</v>
      </c>
      <c r="N134" s="16">
        <f t="shared" si="26"/>
        <v>-1.7067342858536106E-2</v>
      </c>
      <c r="O134" s="16">
        <f t="shared" si="26"/>
        <v>-4.2527522244005432E-2</v>
      </c>
      <c r="P134" s="16">
        <f t="shared" si="26"/>
        <v>-3.1116720341195919E-2</v>
      </c>
      <c r="Q134" s="16">
        <f t="shared" si="26"/>
        <v>-1.7294943614080578E-2</v>
      </c>
      <c r="R134" s="16">
        <f t="shared" si="26"/>
        <v>-1.5838831464933943E-2</v>
      </c>
      <c r="S134" s="16">
        <f t="shared" si="26"/>
        <v>-1.7320316852789425E-2</v>
      </c>
      <c r="T134" s="16">
        <f t="shared" si="26"/>
        <v>-1.6519435981444335E-2</v>
      </c>
      <c r="U134" s="16">
        <f t="shared" si="26"/>
        <v>-1.5017158724753099E-2</v>
      </c>
      <c r="V134" s="16">
        <f t="shared" si="26"/>
        <v>-1.4151925078043704E-2</v>
      </c>
      <c r="W134" s="16">
        <f t="shared" si="26"/>
        <v>-1.4388726087385992E-2</v>
      </c>
      <c r="X134" s="16">
        <f t="shared" si="26"/>
        <v>-4.3553128420845508E-2</v>
      </c>
      <c r="Y134" s="16">
        <f t="shared" si="26"/>
        <v>-1.5917843388960209E-2</v>
      </c>
      <c r="Z134" s="16">
        <f t="shared" si="26"/>
        <v>-2.5581395348837205E-2</v>
      </c>
      <c r="AA134" s="16">
        <f t="shared" si="26"/>
        <v>-3.834363817774554E-2</v>
      </c>
      <c r="AB134" s="16">
        <f t="shared" si="26"/>
        <v>0.98203196579456375</v>
      </c>
      <c r="AC134" s="16">
        <f t="shared" si="26"/>
        <v>-2.6841804683038262E-2</v>
      </c>
      <c r="AD134" s="16">
        <f t="shared" si="26"/>
        <v>-1.6105417276720348E-2</v>
      </c>
      <c r="AE134" s="16">
        <f t="shared" si="26"/>
        <v>-7.5802022951819937E-3</v>
      </c>
      <c r="AF134" s="16">
        <f t="shared" si="26"/>
        <v>-1.6957706672050068E-2</v>
      </c>
      <c r="AG134" s="16">
        <f t="shared" si="26"/>
        <v>-9.4054914739590077E-3</v>
      </c>
      <c r="AH134" s="16">
        <f t="shared" si="26"/>
        <v>-6.0454450698353146E-3</v>
      </c>
      <c r="AI134" s="16">
        <f t="shared" si="26"/>
        <v>-7.0861416305050308E-3</v>
      </c>
      <c r="AJ134" s="16">
        <f t="shared" si="26"/>
        <v>-4.632375787362651E-3</v>
      </c>
      <c r="AK134" s="16">
        <f t="shared" si="26"/>
        <v>-3.1674997094036966E-3</v>
      </c>
      <c r="AL134" s="16">
        <f t="shared" si="26"/>
        <v>-3.6405339449785972E-3</v>
      </c>
      <c r="AM134" s="16">
        <f t="shared" si="26"/>
        <v>-7.0770399924004962E-3</v>
      </c>
      <c r="AN134" s="16">
        <f t="shared" si="26"/>
        <v>-2.0832689872440319E-2</v>
      </c>
      <c r="AO134" s="16">
        <f t="shared" si="26"/>
        <v>-4.6387517540734486E-3</v>
      </c>
      <c r="AP134" s="16">
        <f t="shared" si="26"/>
        <v>-4.7383309759547387E-3</v>
      </c>
      <c r="AQ134" s="16">
        <f t="shared" si="26"/>
        <v>-5.661650752387142E-3</v>
      </c>
      <c r="AR134" s="16">
        <f t="shared" si="26"/>
        <v>-9.1480420958685062E-3</v>
      </c>
      <c r="AS134" s="16">
        <f t="shared" si="26"/>
        <v>-1.1183302667893281E-2</v>
      </c>
      <c r="AT134" s="16">
        <f t="shared" si="26"/>
        <v>0</v>
      </c>
    </row>
    <row r="135" spans="2:46" x14ac:dyDescent="0.3">
      <c r="B135" s="16">
        <f t="shared" ref="B135:AT135" si="27">B84-B33</f>
        <v>-2.6539781236374665E-4</v>
      </c>
      <c r="C135" s="16">
        <f t="shared" si="27"/>
        <v>0</v>
      </c>
      <c r="D135" s="16">
        <f t="shared" si="27"/>
        <v>0</v>
      </c>
      <c r="E135" s="16">
        <f t="shared" si="27"/>
        <v>-3.0854674483184197E-4</v>
      </c>
      <c r="F135" s="16">
        <f t="shared" si="27"/>
        <v>-3.8971161340607956E-4</v>
      </c>
      <c r="G135" s="16">
        <f t="shared" si="27"/>
        <v>-3.3314103241218477E-4</v>
      </c>
      <c r="H135" s="16">
        <f t="shared" si="27"/>
        <v>-5.593884020137983E-4</v>
      </c>
      <c r="I135" s="16">
        <f t="shared" si="27"/>
        <v>-4.8866301798279903E-4</v>
      </c>
      <c r="J135" s="16">
        <f t="shared" si="27"/>
        <v>-3.5573122529644277E-4</v>
      </c>
      <c r="K135" s="16">
        <f t="shared" si="27"/>
        <v>-1.6667766849296983E-3</v>
      </c>
      <c r="L135" s="16">
        <f t="shared" si="27"/>
        <v>-7.7573293387545495E-4</v>
      </c>
      <c r="M135" s="16">
        <f t="shared" si="27"/>
        <v>-2.4055086147277267E-4</v>
      </c>
      <c r="N135" s="16">
        <f t="shared" si="27"/>
        <v>-4.6325644901740859E-4</v>
      </c>
      <c r="O135" s="16">
        <f t="shared" si="27"/>
        <v>-6.786306741064697E-4</v>
      </c>
      <c r="P135" s="16">
        <f t="shared" si="27"/>
        <v>-9.1391766037078929E-4</v>
      </c>
      <c r="Q135" s="16">
        <f t="shared" si="27"/>
        <v>-3.9139900682502016E-4</v>
      </c>
      <c r="R135" s="16">
        <f t="shared" si="27"/>
        <v>-7.0558624212139229E-4</v>
      </c>
      <c r="S135" s="16">
        <f t="shared" si="27"/>
        <v>-6.5405392311232793E-4</v>
      </c>
      <c r="T135" s="16">
        <f t="shared" si="27"/>
        <v>-3.3681889860220145E-4</v>
      </c>
      <c r="U135" s="16">
        <f t="shared" si="27"/>
        <v>-7.2695360595185078E-4</v>
      </c>
      <c r="V135" s="16">
        <f t="shared" si="27"/>
        <v>-1.6649323621227888E-3</v>
      </c>
      <c r="W135" s="16">
        <f t="shared" si="27"/>
        <v>-3.6218761318362912E-4</v>
      </c>
      <c r="X135" s="16">
        <f t="shared" si="27"/>
        <v>-3.3209106675030468E-4</v>
      </c>
      <c r="Y135" s="16">
        <f t="shared" si="27"/>
        <v>-1.4670823399963326E-4</v>
      </c>
      <c r="Z135" s="16">
        <f t="shared" si="27"/>
        <v>-3.6315385152594449E-4</v>
      </c>
      <c r="AA135" s="16">
        <f t="shared" si="27"/>
        <v>-5.8903906491050207E-4</v>
      </c>
      <c r="AB135" s="16">
        <f t="shared" si="27"/>
        <v>-5.7263565102310895E-4</v>
      </c>
      <c r="AC135" s="16">
        <f t="shared" si="27"/>
        <v>0.99657338663620787</v>
      </c>
      <c r="AD135" s="16">
        <f t="shared" si="27"/>
        <v>-1.1196279390233398E-3</v>
      </c>
      <c r="AE135" s="16">
        <f t="shared" si="27"/>
        <v>-1.0795334538030083E-3</v>
      </c>
      <c r="AF135" s="16">
        <f t="shared" si="27"/>
        <v>-1.0093873019077422E-4</v>
      </c>
      <c r="AG135" s="16">
        <f t="shared" si="27"/>
        <v>-2.0366221695580531E-4</v>
      </c>
      <c r="AH135" s="16">
        <f t="shared" si="27"/>
        <v>-8.9341552756186902E-5</v>
      </c>
      <c r="AI135" s="16">
        <f t="shared" si="27"/>
        <v>-6.9245683685716919E-5</v>
      </c>
      <c r="AJ135" s="16">
        <f t="shared" si="27"/>
        <v>-5.6492387650764042E-5</v>
      </c>
      <c r="AK135" s="16">
        <f t="shared" si="27"/>
        <v>-3.8746173815335739E-5</v>
      </c>
      <c r="AL135" s="16">
        <f t="shared" si="27"/>
        <v>-7.3344090466601774E-5</v>
      </c>
      <c r="AM135" s="16">
        <f t="shared" si="27"/>
        <v>-9.4993825401348944E-5</v>
      </c>
      <c r="AN135" s="16">
        <f t="shared" si="27"/>
        <v>-6.3316551873243373E-4</v>
      </c>
      <c r="AO135" s="16">
        <f t="shared" si="27"/>
        <v>-6.5436936969688158E-5</v>
      </c>
      <c r="AP135" s="16">
        <f t="shared" si="27"/>
        <v>-5.6577086280056583E-5</v>
      </c>
      <c r="AQ135" s="16">
        <f t="shared" si="27"/>
        <v>-1.4997750337449381E-4</v>
      </c>
      <c r="AR135" s="16">
        <f t="shared" si="27"/>
        <v>-2.2312297794801231E-4</v>
      </c>
      <c r="AS135" s="16">
        <f t="shared" si="27"/>
        <v>-1.1499540018399263E-4</v>
      </c>
      <c r="AT135" s="16">
        <f t="shared" si="27"/>
        <v>0</v>
      </c>
    </row>
    <row r="136" spans="2:46" x14ac:dyDescent="0.3">
      <c r="B136" s="16">
        <f t="shared" ref="B136:AT136" si="28">B85-B34</f>
        <v>-6.6349453090936664E-4</v>
      </c>
      <c r="C136" s="16">
        <f t="shared" si="28"/>
        <v>0</v>
      </c>
      <c r="D136" s="16">
        <f t="shared" si="28"/>
        <v>-9.398496240601577E-4</v>
      </c>
      <c r="E136" s="16">
        <f t="shared" si="28"/>
        <v>-9.2564023449552579E-4</v>
      </c>
      <c r="F136" s="16">
        <f t="shared" si="28"/>
        <v>-1.1691348402182386E-3</v>
      </c>
      <c r="G136" s="16">
        <f t="shared" si="28"/>
        <v>-9.4254535999544961E-4</v>
      </c>
      <c r="H136" s="16">
        <f t="shared" si="28"/>
        <v>-1.3052396046988627E-3</v>
      </c>
      <c r="I136" s="16">
        <f t="shared" si="28"/>
        <v>-1.0750586395621581E-3</v>
      </c>
      <c r="J136" s="16">
        <f t="shared" si="28"/>
        <v>-1.0276679841897235E-3</v>
      </c>
      <c r="K136" s="16">
        <f t="shared" si="28"/>
        <v>-1.8978150372961911E-3</v>
      </c>
      <c r="L136" s="16">
        <f t="shared" si="28"/>
        <v>-1.2572223411084962E-3</v>
      </c>
      <c r="M136" s="16">
        <f t="shared" si="28"/>
        <v>-1.2628920227320565E-3</v>
      </c>
      <c r="N136" s="16">
        <f t="shared" si="28"/>
        <v>-1.2922416735748766E-3</v>
      </c>
      <c r="O136" s="16">
        <f t="shared" si="28"/>
        <v>-1.1687528276278091E-3</v>
      </c>
      <c r="P136" s="16">
        <f t="shared" si="28"/>
        <v>-1.3926364348507264E-3</v>
      </c>
      <c r="Q136" s="16">
        <f t="shared" si="28"/>
        <v>-1.1986594584016243E-3</v>
      </c>
      <c r="R136" s="16">
        <f t="shared" si="28"/>
        <v>-1.9956506400299083E-3</v>
      </c>
      <c r="S136" s="16">
        <f t="shared" si="28"/>
        <v>-1.8168164530897998E-3</v>
      </c>
      <c r="T136" s="16">
        <f t="shared" si="28"/>
        <v>-1.0104566958066042E-3</v>
      </c>
      <c r="U136" s="16">
        <f t="shared" si="28"/>
        <v>-1.034762790453986E-3</v>
      </c>
      <c r="V136" s="16">
        <f t="shared" si="28"/>
        <v>-1.6649323621227888E-3</v>
      </c>
      <c r="W136" s="16">
        <f t="shared" si="28"/>
        <v>-1.1194889862039443E-3</v>
      </c>
      <c r="X136" s="16">
        <f t="shared" si="28"/>
        <v>-9.5937419283421337E-4</v>
      </c>
      <c r="Y136" s="16">
        <f t="shared" si="28"/>
        <v>-5.8683293599853304E-4</v>
      </c>
      <c r="Z136" s="16">
        <f t="shared" si="28"/>
        <v>-1.0126405475242683E-3</v>
      </c>
      <c r="AA136" s="16">
        <f t="shared" si="28"/>
        <v>-1.0458448703512997E-3</v>
      </c>
      <c r="AB136" s="16">
        <f t="shared" si="28"/>
        <v>-1.4252265092130709E-3</v>
      </c>
      <c r="AC136" s="16">
        <f t="shared" si="28"/>
        <v>-1.1422044545973729E-3</v>
      </c>
      <c r="AD136" s="16">
        <f t="shared" si="28"/>
        <v>0.98699509086211357</v>
      </c>
      <c r="AE136" s="16">
        <f t="shared" si="28"/>
        <v>-1.0795334538030083E-3</v>
      </c>
      <c r="AF136" s="16">
        <f t="shared" si="28"/>
        <v>-2.5234682547693554E-3</v>
      </c>
      <c r="AG136" s="16">
        <f t="shared" si="28"/>
        <v>-8.8870785580715027E-4</v>
      </c>
      <c r="AH136" s="16">
        <f t="shared" si="28"/>
        <v>-5.9561035170791279E-4</v>
      </c>
      <c r="AI136" s="16">
        <f t="shared" si="28"/>
        <v>-3.4622841842858455E-4</v>
      </c>
      <c r="AJ136" s="16">
        <f t="shared" si="28"/>
        <v>-1.1298477530152808E-3</v>
      </c>
      <c r="AK136" s="16">
        <f t="shared" si="28"/>
        <v>-2.7122321670735011E-4</v>
      </c>
      <c r="AL136" s="16">
        <f t="shared" si="28"/>
        <v>-4.267292536238649E-4</v>
      </c>
      <c r="AM136" s="16">
        <f t="shared" si="28"/>
        <v>-1.5673981191222576E-3</v>
      </c>
      <c r="AN136" s="16">
        <f t="shared" si="28"/>
        <v>-8.2311517435216374E-3</v>
      </c>
      <c r="AO136" s="16">
        <f t="shared" si="28"/>
        <v>-6.7618168202011094E-4</v>
      </c>
      <c r="AP136" s="16">
        <f t="shared" si="28"/>
        <v>-7.2135785007072133E-4</v>
      </c>
      <c r="AQ136" s="16">
        <f t="shared" si="28"/>
        <v>-5.1242313652952057E-4</v>
      </c>
      <c r="AR136" s="16">
        <f t="shared" si="28"/>
        <v>-1.0040534007660555E-3</v>
      </c>
      <c r="AS136" s="16">
        <f t="shared" si="28"/>
        <v>-8.0496780128794829E-4</v>
      </c>
      <c r="AT136" s="16">
        <f t="shared" si="28"/>
        <v>0</v>
      </c>
    </row>
    <row r="137" spans="2:46" x14ac:dyDescent="0.3">
      <c r="B137" s="16">
        <f t="shared" ref="B137:AT137" si="29">B86-B35</f>
        <v>-6.132585164262289E-3</v>
      </c>
      <c r="C137" s="16">
        <f t="shared" si="29"/>
        <v>-8.4566596194503175E-3</v>
      </c>
      <c r="D137" s="16">
        <f t="shared" si="29"/>
        <v>-2.8195488721804727E-3</v>
      </c>
      <c r="E137" s="16">
        <f t="shared" si="29"/>
        <v>-1.1724776303609994E-2</v>
      </c>
      <c r="F137" s="16">
        <f t="shared" si="29"/>
        <v>-4.2868277474668757E-3</v>
      </c>
      <c r="G137" s="16">
        <f t="shared" si="29"/>
        <v>-1.1481177531668711E-2</v>
      </c>
      <c r="H137" s="16">
        <f t="shared" si="29"/>
        <v>-4.6615700167816528E-3</v>
      </c>
      <c r="I137" s="16">
        <f t="shared" si="29"/>
        <v>-6.7435496481626275E-3</v>
      </c>
      <c r="J137" s="16">
        <f t="shared" si="29"/>
        <v>-6.2055335968379454E-3</v>
      </c>
      <c r="K137" s="16">
        <f t="shared" si="29"/>
        <v>-1.1155851871410653E-2</v>
      </c>
      <c r="L137" s="16">
        <f t="shared" si="29"/>
        <v>-4.81489407233041E-3</v>
      </c>
      <c r="M137" s="16">
        <f t="shared" si="29"/>
        <v>-2.4055086147277268E-3</v>
      </c>
      <c r="N137" s="16">
        <f t="shared" si="29"/>
        <v>-6.6318817964597446E-3</v>
      </c>
      <c r="O137" s="16">
        <f t="shared" si="29"/>
        <v>-1.5118383350927465E-2</v>
      </c>
      <c r="P137" s="16">
        <f t="shared" si="29"/>
        <v>-4.4390286360866905E-3</v>
      </c>
      <c r="Q137" s="16">
        <f t="shared" si="29"/>
        <v>-5.846522664448738E-3</v>
      </c>
      <c r="R137" s="16">
        <f t="shared" si="29"/>
        <v>-6.4345252826294138E-3</v>
      </c>
      <c r="S137" s="16">
        <f t="shared" si="29"/>
        <v>-4.0938930742956819E-3</v>
      </c>
      <c r="T137" s="16">
        <f t="shared" si="29"/>
        <v>-4.1183765329087354E-3</v>
      </c>
      <c r="U137" s="16">
        <f t="shared" si="29"/>
        <v>-3.8508893720692636E-3</v>
      </c>
      <c r="V137" s="16">
        <f t="shared" si="29"/>
        <v>-5.2029136316337149E-3</v>
      </c>
      <c r="W137" s="16">
        <f t="shared" si="29"/>
        <v>-5.465740344407494E-3</v>
      </c>
      <c r="X137" s="16">
        <f t="shared" si="29"/>
        <v>-1.2644059874789376E-2</v>
      </c>
      <c r="Y137" s="16">
        <f t="shared" si="29"/>
        <v>-7.7388593434806544E-3</v>
      </c>
      <c r="Z137" s="16">
        <f t="shared" si="29"/>
        <v>-1.1425378867239331E-2</v>
      </c>
      <c r="AA137" s="16">
        <f t="shared" si="29"/>
        <v>-2.0039349412363409E-2</v>
      </c>
      <c r="AB137" s="16">
        <f t="shared" si="29"/>
        <v>-0.12851216532627505</v>
      </c>
      <c r="AC137" s="16">
        <f t="shared" si="29"/>
        <v>-0.14848657909765847</v>
      </c>
      <c r="AD137" s="16">
        <f t="shared" si="29"/>
        <v>-0.3174575833261562</v>
      </c>
      <c r="AE137" s="16">
        <f t="shared" si="29"/>
        <v>0.96029194339489798</v>
      </c>
      <c r="AF137" s="16">
        <f t="shared" si="29"/>
        <v>-1.1406076511557487E-2</v>
      </c>
      <c r="AG137" s="16">
        <f t="shared" si="29"/>
        <v>-3.6103756642165484E-3</v>
      </c>
      <c r="AH137" s="16">
        <f t="shared" si="29"/>
        <v>-3.5438815926620809E-3</v>
      </c>
      <c r="AI137" s="16">
        <f t="shared" si="29"/>
        <v>-3.7854307081525243E-3</v>
      </c>
      <c r="AJ137" s="16">
        <f t="shared" si="29"/>
        <v>-2.3161878936813255E-3</v>
      </c>
      <c r="AK137" s="16">
        <f t="shared" si="29"/>
        <v>-1.007400519198729E-3</v>
      </c>
      <c r="AL137" s="16">
        <f t="shared" si="29"/>
        <v>-1.9402845750710106E-3</v>
      </c>
      <c r="AM137" s="16">
        <f t="shared" si="29"/>
        <v>-3.2677875938064036E-3</v>
      </c>
      <c r="AN137" s="16">
        <f t="shared" si="29"/>
        <v>-4.8954504741019877E-3</v>
      </c>
      <c r="AO137" s="16">
        <f t="shared" si="29"/>
        <v>-1.2229436442557274E-2</v>
      </c>
      <c r="AP137" s="16">
        <f t="shared" si="29"/>
        <v>-1.3154172560113156E-3</v>
      </c>
      <c r="AQ137" s="16">
        <f t="shared" si="29"/>
        <v>-1.7497375393690947E-3</v>
      </c>
      <c r="AR137" s="16">
        <f t="shared" si="29"/>
        <v>-4.6483953739169231E-3</v>
      </c>
      <c r="AS137" s="16">
        <f t="shared" si="29"/>
        <v>-7.4172033118675247E-3</v>
      </c>
      <c r="AT137" s="16">
        <f t="shared" si="29"/>
        <v>0</v>
      </c>
    </row>
    <row r="138" spans="2:46" x14ac:dyDescent="0.3">
      <c r="B138" s="16">
        <f t="shared" ref="B138:AT138" si="30">B87-B36</f>
        <v>-1.4217739948057856E-3</v>
      </c>
      <c r="C138" s="16">
        <f t="shared" si="30"/>
        <v>-2.1141649048625794E-3</v>
      </c>
      <c r="D138" s="16">
        <f t="shared" si="30"/>
        <v>-9.398496240601577E-4</v>
      </c>
      <c r="E138" s="16">
        <f t="shared" si="30"/>
        <v>-1.5427337241592097E-3</v>
      </c>
      <c r="F138" s="16">
        <f t="shared" si="30"/>
        <v>-7.7942322681215912E-4</v>
      </c>
      <c r="G138" s="16">
        <f t="shared" si="30"/>
        <v>-1.2919371744765215E-3</v>
      </c>
      <c r="H138" s="16">
        <f t="shared" si="30"/>
        <v>-1.2430853378084406E-3</v>
      </c>
      <c r="I138" s="16">
        <f t="shared" si="30"/>
        <v>-1.1727912431587176E-3</v>
      </c>
      <c r="J138" s="16">
        <f t="shared" si="30"/>
        <v>-1.3043478260869566E-3</v>
      </c>
      <c r="K138" s="16">
        <f t="shared" si="30"/>
        <v>-6.1060135982573106E-4</v>
      </c>
      <c r="L138" s="16">
        <f t="shared" si="30"/>
        <v>-1.5247164562379634E-3</v>
      </c>
      <c r="M138" s="16">
        <f t="shared" si="30"/>
        <v>-2.0747511802026645E-3</v>
      </c>
      <c r="N138" s="16">
        <f t="shared" si="30"/>
        <v>-1.1215682449895155E-3</v>
      </c>
      <c r="O138" s="16">
        <f t="shared" si="30"/>
        <v>-1.3572613482129394E-3</v>
      </c>
      <c r="P138" s="16">
        <f t="shared" si="30"/>
        <v>-6.0927844024719275E-4</v>
      </c>
      <c r="Q138" s="16">
        <f t="shared" si="30"/>
        <v>-1.0763472687688055E-3</v>
      </c>
      <c r="R138" s="16">
        <f t="shared" si="30"/>
        <v>-3.738553969449168E-4</v>
      </c>
      <c r="S138" s="16">
        <f t="shared" si="30"/>
        <v>-6.2982970373779725E-4</v>
      </c>
      <c r="T138" s="16">
        <f t="shared" si="30"/>
        <v>-8.5735719644196729E-4</v>
      </c>
      <c r="U138" s="16">
        <f t="shared" si="30"/>
        <v>-5.5667618473790377E-4</v>
      </c>
      <c r="V138" s="16">
        <f t="shared" si="30"/>
        <v>-8.3246618106139442E-4</v>
      </c>
      <c r="W138" s="16">
        <f t="shared" si="30"/>
        <v>-1.1853412795100589E-3</v>
      </c>
      <c r="X138" s="16">
        <f t="shared" si="30"/>
        <v>-2.5337318426134356E-3</v>
      </c>
      <c r="Y138" s="16">
        <f t="shared" si="30"/>
        <v>-3.8144140839904647E-3</v>
      </c>
      <c r="Z138" s="16">
        <f t="shared" si="30"/>
        <v>-1.6900621551784339E-3</v>
      </c>
      <c r="AA138" s="16">
        <f t="shared" si="30"/>
        <v>-3.7466090183082956E-3</v>
      </c>
      <c r="AB138" s="16">
        <f t="shared" si="30"/>
        <v>-2.1632902371984115E-3</v>
      </c>
      <c r="AC138" s="16">
        <f t="shared" si="30"/>
        <v>-2.2844089091947459E-3</v>
      </c>
      <c r="AD138" s="16">
        <f t="shared" si="30"/>
        <v>-3.1866333649125827E-3</v>
      </c>
      <c r="AE138" s="16">
        <f t="shared" si="30"/>
        <v>-4.1069207481636196E-3</v>
      </c>
      <c r="AF138" s="16">
        <f t="shared" si="30"/>
        <v>0.93650953871000298</v>
      </c>
      <c r="AG138" s="16">
        <f t="shared" si="30"/>
        <v>-2.2773138805058228E-3</v>
      </c>
      <c r="AH138" s="16">
        <f t="shared" si="30"/>
        <v>-1.2090890139670629E-2</v>
      </c>
      <c r="AI138" s="16">
        <f t="shared" si="30"/>
        <v>-1.1102391284276612E-2</v>
      </c>
      <c r="AJ138" s="16">
        <f t="shared" si="30"/>
        <v>-1.7512640171736854E-3</v>
      </c>
      <c r="AK138" s="16">
        <f t="shared" si="30"/>
        <v>-1.644775078461002E-2</v>
      </c>
      <c r="AL138" s="16">
        <f t="shared" si="30"/>
        <v>-4.0272573310752248E-3</v>
      </c>
      <c r="AM138" s="16">
        <f t="shared" si="30"/>
        <v>-3.4672746271492364E-3</v>
      </c>
      <c r="AN138" s="16">
        <f t="shared" si="30"/>
        <v>-3.2893720851221559E-3</v>
      </c>
      <c r="AO138" s="16">
        <f t="shared" si="30"/>
        <v>-1.3908984491445939E-2</v>
      </c>
      <c r="AP138" s="16">
        <f t="shared" si="30"/>
        <v>-3.8613861386138613E-3</v>
      </c>
      <c r="AQ138" s="16">
        <f t="shared" si="30"/>
        <v>-4.499325101234815E-3</v>
      </c>
      <c r="AR138" s="16">
        <f t="shared" si="30"/>
        <v>-9.4455393997991879E-3</v>
      </c>
      <c r="AS138" s="16">
        <f t="shared" si="30"/>
        <v>-5.4047838086476539E-3</v>
      </c>
      <c r="AT138" s="16">
        <f t="shared" si="30"/>
        <v>0</v>
      </c>
    </row>
    <row r="139" spans="2:46" x14ac:dyDescent="0.3">
      <c r="B139" s="16">
        <f t="shared" ref="B139:AT139" si="31">B88-B37</f>
        <v>-1.7061287937669426E-4</v>
      </c>
      <c r="C139" s="16">
        <f t="shared" si="31"/>
        <v>0</v>
      </c>
      <c r="D139" s="16">
        <f t="shared" si="31"/>
        <v>-9.398496240601577E-4</v>
      </c>
      <c r="E139" s="16">
        <f t="shared" si="31"/>
        <v>-3.0854674483184197E-4</v>
      </c>
      <c r="F139" s="16">
        <f t="shared" si="31"/>
        <v>-7.7942322681215912E-4</v>
      </c>
      <c r="G139" s="16">
        <f t="shared" si="31"/>
        <v>-4.468965068943942E-4</v>
      </c>
      <c r="H139" s="16">
        <f t="shared" si="31"/>
        <v>-4.3507986823295423E-4</v>
      </c>
      <c r="I139" s="16">
        <f t="shared" si="31"/>
        <v>-4.8866301798279903E-4</v>
      </c>
      <c r="J139" s="16">
        <f t="shared" si="31"/>
        <v>-4.7430830039525701E-4</v>
      </c>
      <c r="K139" s="16">
        <f t="shared" si="31"/>
        <v>-1.3202191563799591E-4</v>
      </c>
      <c r="L139" s="16">
        <f t="shared" si="31"/>
        <v>-4.0124117269420089E-4</v>
      </c>
      <c r="M139" s="16">
        <f t="shared" si="31"/>
        <v>-8.4192801515470424E-4</v>
      </c>
      <c r="N139" s="16">
        <f t="shared" si="31"/>
        <v>-5.6078412249475776E-4</v>
      </c>
      <c r="O139" s="16">
        <f t="shared" si="31"/>
        <v>-4.1471874528728708E-4</v>
      </c>
      <c r="P139" s="16">
        <f t="shared" si="31"/>
        <v>-6.0927844024719275E-4</v>
      </c>
      <c r="Q139" s="16">
        <f t="shared" si="31"/>
        <v>-6.1156094816409393E-4</v>
      </c>
      <c r="R139" s="16">
        <f t="shared" si="31"/>
        <v>-3.9491767282913751E-4</v>
      </c>
      <c r="S139" s="16">
        <f t="shared" si="31"/>
        <v>-4.6026016811608262E-4</v>
      </c>
      <c r="T139" s="16">
        <f t="shared" si="31"/>
        <v>-7.1956764701379405E-4</v>
      </c>
      <c r="U139" s="16">
        <f t="shared" si="31"/>
        <v>-3.7984963193880492E-4</v>
      </c>
      <c r="V139" s="16">
        <f t="shared" si="31"/>
        <v>-8.3246618106139442E-4</v>
      </c>
      <c r="W139" s="16">
        <f t="shared" si="31"/>
        <v>-5.9267063975502945E-4</v>
      </c>
      <c r="X139" s="16">
        <f t="shared" si="31"/>
        <v>-2.4599338277800343E-4</v>
      </c>
      <c r="Y139" s="16">
        <f t="shared" si="31"/>
        <v>-2.5673940949935817E-4</v>
      </c>
      <c r="Z139" s="16">
        <f t="shared" si="31"/>
        <v>-7.6821007053565183E-4</v>
      </c>
      <c r="AA139" s="16">
        <f t="shared" si="31"/>
        <v>-1.5387142920111074E-3</v>
      </c>
      <c r="AB139" s="16">
        <f t="shared" si="31"/>
        <v>-8.780413315687671E-4</v>
      </c>
      <c r="AC139" s="16">
        <f t="shared" si="31"/>
        <v>0</v>
      </c>
      <c r="AD139" s="16">
        <f t="shared" si="31"/>
        <v>-1.7225045215743689E-3</v>
      </c>
      <c r="AE139" s="16">
        <f t="shared" si="31"/>
        <v>-1.478491469338903E-3</v>
      </c>
      <c r="AF139" s="16">
        <f t="shared" si="31"/>
        <v>-1.0093873019077421E-3</v>
      </c>
      <c r="AG139" s="16">
        <f t="shared" si="31"/>
        <v>0.9694876969506212</v>
      </c>
      <c r="AH139" s="16">
        <f t="shared" si="31"/>
        <v>-8.636350099764735E-4</v>
      </c>
      <c r="AI139" s="16">
        <f t="shared" si="31"/>
        <v>-5.0780168036192413E-4</v>
      </c>
      <c r="AJ139" s="16">
        <f t="shared" si="31"/>
        <v>-2.5139112504590001E-3</v>
      </c>
      <c r="AK139" s="16">
        <f t="shared" si="31"/>
        <v>-1.1526986710062382E-3</v>
      </c>
      <c r="AL139" s="16">
        <f t="shared" si="31"/>
        <v>-3.4004987398151729E-4</v>
      </c>
      <c r="AM139" s="16">
        <f t="shared" si="31"/>
        <v>-3.7807542509736879E-3</v>
      </c>
      <c r="AN139" s="16">
        <f t="shared" si="31"/>
        <v>-3.1581060629459194E-2</v>
      </c>
      <c r="AO139" s="16">
        <f t="shared" si="31"/>
        <v>-4.5587732755549412E-3</v>
      </c>
      <c r="AP139" s="16">
        <f t="shared" si="31"/>
        <v>-2.9985855728429985E-3</v>
      </c>
      <c r="AQ139" s="16">
        <f t="shared" si="31"/>
        <v>-8.8236764485327204E-3</v>
      </c>
      <c r="AR139" s="16">
        <f t="shared" si="31"/>
        <v>-4.1277750920382279E-3</v>
      </c>
      <c r="AS139" s="16">
        <f t="shared" si="31"/>
        <v>-1.4518169273229069E-2</v>
      </c>
      <c r="AT139" s="16">
        <f t="shared" si="31"/>
        <v>0</v>
      </c>
    </row>
    <row r="140" spans="2:46" x14ac:dyDescent="0.3">
      <c r="B140" s="16">
        <f t="shared" ref="B140:AT140" si="32">B89-B38</f>
        <v>-7.7723645049382936E-4</v>
      </c>
      <c r="C140" s="16">
        <f t="shared" si="32"/>
        <v>-2.1141649048625794E-3</v>
      </c>
      <c r="D140" s="16">
        <f t="shared" si="32"/>
        <v>0</v>
      </c>
      <c r="E140" s="16">
        <f t="shared" si="32"/>
        <v>-9.2564023449552579E-4</v>
      </c>
      <c r="F140" s="16">
        <f t="shared" si="32"/>
        <v>-3.8971161340607956E-4</v>
      </c>
      <c r="G140" s="16">
        <f t="shared" si="32"/>
        <v>-7.1503441103103072E-3</v>
      </c>
      <c r="H140" s="16">
        <f t="shared" si="32"/>
        <v>-1.1809310709180185E-3</v>
      </c>
      <c r="I140" s="16">
        <f t="shared" si="32"/>
        <v>-1.8569194683346363E-3</v>
      </c>
      <c r="J140" s="16">
        <f t="shared" si="32"/>
        <v>-4.5454545454545461E-3</v>
      </c>
      <c r="K140" s="16">
        <f t="shared" si="32"/>
        <v>-7.0961779655422791E-4</v>
      </c>
      <c r="L140" s="16">
        <f t="shared" si="32"/>
        <v>-2.6481917397817257E-3</v>
      </c>
      <c r="M140" s="16">
        <f t="shared" si="32"/>
        <v>-1.1576510208377185E-2</v>
      </c>
      <c r="N140" s="16">
        <f t="shared" si="32"/>
        <v>-4.2180718778953522E-3</v>
      </c>
      <c r="O140" s="16">
        <f t="shared" si="32"/>
        <v>-1.6588749811491483E-3</v>
      </c>
      <c r="P140" s="16">
        <f t="shared" si="32"/>
        <v>-4.3519888589085203E-4</v>
      </c>
      <c r="Q140" s="16">
        <f t="shared" si="32"/>
        <v>-1.4677462755938256E-3</v>
      </c>
      <c r="R140" s="16">
        <f t="shared" si="32"/>
        <v>-2.8276105374566247E-3</v>
      </c>
      <c r="S140" s="16">
        <f t="shared" si="32"/>
        <v>-1.9137133305879225E-3</v>
      </c>
      <c r="T140" s="16">
        <f t="shared" si="32"/>
        <v>-9.0328704625135844E-4</v>
      </c>
      <c r="U140" s="16">
        <f t="shared" si="32"/>
        <v>-1.3294737117858174E-3</v>
      </c>
      <c r="V140" s="16">
        <f t="shared" si="32"/>
        <v>-8.3246618106139442E-4</v>
      </c>
      <c r="W140" s="16">
        <f t="shared" si="32"/>
        <v>-1.9755687991834313E-3</v>
      </c>
      <c r="X140" s="16">
        <f t="shared" si="32"/>
        <v>-1.1192698916399155E-3</v>
      </c>
      <c r="Y140" s="16">
        <f t="shared" si="32"/>
        <v>-2.2373005684944072E-3</v>
      </c>
      <c r="Z140" s="16">
        <f t="shared" si="32"/>
        <v>-1.2361198407710033E-3</v>
      </c>
      <c r="AA140" s="16">
        <f t="shared" si="32"/>
        <v>-9.4045896962241388E-3</v>
      </c>
      <c r="AB140" s="16">
        <f t="shared" si="32"/>
        <v>-1.7560826631375342E-3</v>
      </c>
      <c r="AC140" s="16">
        <f t="shared" si="32"/>
        <v>-1.1422044545973729E-3</v>
      </c>
      <c r="AD140" s="16">
        <f t="shared" si="32"/>
        <v>-2.153130651967961E-3</v>
      </c>
      <c r="AE140" s="16">
        <f t="shared" si="32"/>
        <v>-1.9713219591185375E-3</v>
      </c>
      <c r="AF140" s="16">
        <f t="shared" si="32"/>
        <v>-5.4506914303018078E-3</v>
      </c>
      <c r="AG140" s="16">
        <f t="shared" si="32"/>
        <v>-5.684027327766566E-3</v>
      </c>
      <c r="AH140" s="16">
        <f t="shared" si="32"/>
        <v>0.79513981953006341</v>
      </c>
      <c r="AI140" s="16">
        <f t="shared" si="32"/>
        <v>-2.4120579817191391E-2</v>
      </c>
      <c r="AJ140" s="16">
        <f t="shared" si="32"/>
        <v>-3.7284975849504265E-3</v>
      </c>
      <c r="AK140" s="16">
        <f t="shared" si="32"/>
        <v>-2.8962764926963461E-3</v>
      </c>
      <c r="AL140" s="16">
        <f t="shared" si="32"/>
        <v>-3.4405046073424103E-3</v>
      </c>
      <c r="AM140" s="16">
        <f t="shared" si="32"/>
        <v>-1.2501187422817521E-2</v>
      </c>
      <c r="AN140" s="16">
        <f t="shared" si="32"/>
        <v>-1.4377490193655994E-2</v>
      </c>
      <c r="AO140" s="16">
        <f t="shared" si="32"/>
        <v>-2.1885020030973485E-3</v>
      </c>
      <c r="AP140" s="16">
        <f t="shared" si="32"/>
        <v>-1.4073550212164073E-2</v>
      </c>
      <c r="AQ140" s="16">
        <f t="shared" si="32"/>
        <v>-1.3747937809328601E-3</v>
      </c>
      <c r="AR140" s="16">
        <f t="shared" si="32"/>
        <v>-3.8525900859023458E-2</v>
      </c>
      <c r="AS140" s="16">
        <f t="shared" si="32"/>
        <v>-2.6678932842686288E-2</v>
      </c>
      <c r="AT140" s="16">
        <f t="shared" si="32"/>
        <v>0</v>
      </c>
    </row>
    <row r="141" spans="2:46" x14ac:dyDescent="0.3">
      <c r="B141" s="16">
        <f t="shared" ref="B141:AT141" si="33">B90-B39</f>
        <v>-1.7061287937669427E-3</v>
      </c>
      <c r="C141" s="16">
        <f t="shared" si="33"/>
        <v>-1.0570824524312895E-2</v>
      </c>
      <c r="D141" s="16">
        <f t="shared" si="33"/>
        <v>-1.8796992481203154E-3</v>
      </c>
      <c r="E141" s="16">
        <f t="shared" si="33"/>
        <v>-2.7769207034865776E-3</v>
      </c>
      <c r="F141" s="16">
        <f t="shared" si="33"/>
        <v>-2.3382696804364772E-3</v>
      </c>
      <c r="G141" s="16">
        <f t="shared" si="33"/>
        <v>-3.2826579779151864E-3</v>
      </c>
      <c r="H141" s="16">
        <f t="shared" si="33"/>
        <v>-2.9212505438498356E-3</v>
      </c>
      <c r="I141" s="16">
        <f t="shared" si="33"/>
        <v>-4.4956997654417505E-3</v>
      </c>
      <c r="J141" s="16">
        <f t="shared" si="33"/>
        <v>-3.9920948616600799E-3</v>
      </c>
      <c r="K141" s="16">
        <f t="shared" si="33"/>
        <v>-2.2278698263911807E-3</v>
      </c>
      <c r="L141" s="16">
        <f t="shared" si="33"/>
        <v>-2.353948213139312E-3</v>
      </c>
      <c r="M141" s="16">
        <f t="shared" si="33"/>
        <v>-2.4355774724118232E-3</v>
      </c>
      <c r="N141" s="16">
        <f t="shared" si="33"/>
        <v>-3.3159408982298723E-3</v>
      </c>
      <c r="O141" s="16">
        <f t="shared" si="33"/>
        <v>-3.8078721158196355E-3</v>
      </c>
      <c r="P141" s="16">
        <f t="shared" si="33"/>
        <v>-1.8713552093306636E-3</v>
      </c>
      <c r="Q141" s="16">
        <f t="shared" si="33"/>
        <v>-3.326891558012671E-3</v>
      </c>
      <c r="R141" s="16">
        <f t="shared" si="33"/>
        <v>-2.0009162090009634E-3</v>
      </c>
      <c r="S141" s="16">
        <f t="shared" si="33"/>
        <v>-2.4708703762021276E-3</v>
      </c>
      <c r="T141" s="16">
        <f t="shared" si="33"/>
        <v>-3.5978382350689698E-3</v>
      </c>
      <c r="U141" s="16">
        <f t="shared" si="33"/>
        <v>-1.4277106855630946E-3</v>
      </c>
      <c r="V141" s="16">
        <f t="shared" si="33"/>
        <v>-3.5379812695109261E-3</v>
      </c>
      <c r="W141" s="16">
        <f t="shared" si="33"/>
        <v>-3.9182114517138057E-3</v>
      </c>
      <c r="X141" s="16">
        <f t="shared" si="33"/>
        <v>-2.300038128974332E-3</v>
      </c>
      <c r="Y141" s="16">
        <f t="shared" si="33"/>
        <v>-7.555474050981113E-3</v>
      </c>
      <c r="Z141" s="16">
        <f t="shared" si="33"/>
        <v>-6.4040784971017527E-3</v>
      </c>
      <c r="AA141" s="16">
        <f t="shared" si="33"/>
        <v>-1.0698872811639731E-2</v>
      </c>
      <c r="AB141" s="16">
        <f t="shared" si="33"/>
        <v>-9.5312022803624129E-3</v>
      </c>
      <c r="AC141" s="16">
        <f t="shared" si="33"/>
        <v>-6.2821245002855509E-3</v>
      </c>
      <c r="AD141" s="16">
        <f t="shared" si="33"/>
        <v>-3.6172594953061748E-3</v>
      </c>
      <c r="AE141" s="16">
        <f t="shared" si="33"/>
        <v>-7.3220529910117101E-3</v>
      </c>
      <c r="AF141" s="16">
        <f t="shared" si="33"/>
        <v>-1.0194811749268196E-2</v>
      </c>
      <c r="AG141" s="16">
        <f t="shared" si="33"/>
        <v>-5.3507618818388839E-3</v>
      </c>
      <c r="AH141" s="16">
        <f t="shared" si="33"/>
        <v>-2.4807171148634566E-2</v>
      </c>
      <c r="AI141" s="16">
        <f t="shared" si="33"/>
        <v>0.96413073585079867</v>
      </c>
      <c r="AJ141" s="16">
        <f t="shared" si="33"/>
        <v>-1.7569132559387617E-2</v>
      </c>
      <c r="AK141" s="16">
        <f t="shared" si="33"/>
        <v>-1.0568018908132821E-2</v>
      </c>
      <c r="AL141" s="16">
        <f t="shared" si="33"/>
        <v>-3.8072250596754191E-3</v>
      </c>
      <c r="AM141" s="16">
        <f t="shared" si="33"/>
        <v>-1.2463189892656981E-2</v>
      </c>
      <c r="AN141" s="16">
        <f t="shared" si="33"/>
        <v>-1.0655712388423885E-2</v>
      </c>
      <c r="AO141" s="16">
        <f t="shared" si="33"/>
        <v>-1.0884343849291461E-2</v>
      </c>
      <c r="AP141" s="16">
        <f t="shared" si="33"/>
        <v>-9.3352192362093356E-3</v>
      </c>
      <c r="AQ141" s="16">
        <f t="shared" si="33"/>
        <v>-9.4360845873119031E-3</v>
      </c>
      <c r="AR141" s="16">
        <f t="shared" si="33"/>
        <v>-2.7109441820683498E-2</v>
      </c>
      <c r="AS141" s="16">
        <f t="shared" si="33"/>
        <v>-1.9204231830726767E-2</v>
      </c>
      <c r="AT141" s="16">
        <f t="shared" si="33"/>
        <v>0</v>
      </c>
    </row>
    <row r="142" spans="2:46" x14ac:dyDescent="0.3">
      <c r="B142" s="16">
        <f t="shared" ref="B142:AT142" si="34">B91-B40</f>
        <v>-1.4502094747019013E-3</v>
      </c>
      <c r="C142" s="16">
        <f t="shared" si="34"/>
        <v>-4.2283298097251587E-3</v>
      </c>
      <c r="D142" s="16">
        <f t="shared" si="34"/>
        <v>-9.398496240601577E-4</v>
      </c>
      <c r="E142" s="16">
        <f t="shared" si="34"/>
        <v>-3.7025609379821032E-3</v>
      </c>
      <c r="F142" s="16">
        <f t="shared" si="34"/>
        <v>-1.6367887763055342E-2</v>
      </c>
      <c r="G142" s="16">
        <f t="shared" si="34"/>
        <v>-8.5641621503034816E-3</v>
      </c>
      <c r="H142" s="16">
        <f t="shared" si="34"/>
        <v>-2.2375536080551932E-3</v>
      </c>
      <c r="I142" s="16">
        <f t="shared" si="34"/>
        <v>-2.4433150899139952E-3</v>
      </c>
      <c r="J142" s="16">
        <f t="shared" si="34"/>
        <v>-4.6640316205533612E-3</v>
      </c>
      <c r="K142" s="16">
        <f t="shared" si="34"/>
        <v>-1.1551917618324642E-3</v>
      </c>
      <c r="L142" s="16">
        <f t="shared" si="34"/>
        <v>-3.6111705542478077E-3</v>
      </c>
      <c r="M142" s="16">
        <f t="shared" si="34"/>
        <v>-3.8488137835643627E-3</v>
      </c>
      <c r="N142" s="16">
        <f t="shared" si="34"/>
        <v>-4.1693080411566779E-3</v>
      </c>
      <c r="O142" s="16">
        <f t="shared" si="34"/>
        <v>-5.1274317599155489E-3</v>
      </c>
      <c r="P142" s="16">
        <f t="shared" si="34"/>
        <v>-6.3974236225955239E-3</v>
      </c>
      <c r="Q142" s="16">
        <f t="shared" si="34"/>
        <v>-3.7182905648376909E-3</v>
      </c>
      <c r="R142" s="16">
        <f t="shared" si="34"/>
        <v>-1.9919647417501695E-2</v>
      </c>
      <c r="S142" s="16">
        <f t="shared" si="34"/>
        <v>-8.3331314648385484E-3</v>
      </c>
      <c r="T142" s="16">
        <f t="shared" si="34"/>
        <v>-3.7815576343065344E-3</v>
      </c>
      <c r="U142" s="16">
        <f t="shared" si="34"/>
        <v>-3.0191496607549842E-3</v>
      </c>
      <c r="V142" s="16">
        <f t="shared" si="34"/>
        <v>-4.5785639958376692E-3</v>
      </c>
      <c r="W142" s="16">
        <f t="shared" si="34"/>
        <v>-4.346251358203549E-3</v>
      </c>
      <c r="X142" s="16">
        <f t="shared" si="34"/>
        <v>-1.4882599658069208E-2</v>
      </c>
      <c r="Y142" s="16">
        <f t="shared" si="34"/>
        <v>-1.437740693196406E-2</v>
      </c>
      <c r="Z142" s="16">
        <f t="shared" si="34"/>
        <v>-6.8999231789929451E-3</v>
      </c>
      <c r="AA142" s="16">
        <f t="shared" si="34"/>
        <v>-1.9282013471764191E-2</v>
      </c>
      <c r="AB142" s="16">
        <f t="shared" si="34"/>
        <v>-1.1859920594523057E-2</v>
      </c>
      <c r="AC142" s="16">
        <f t="shared" si="34"/>
        <v>-3.4266133637921182E-3</v>
      </c>
      <c r="AD142" s="16">
        <f t="shared" si="34"/>
        <v>-2.1875807423994482E-2</v>
      </c>
      <c r="AE142" s="16">
        <f t="shared" si="34"/>
        <v>-1.6357278636971673E-2</v>
      </c>
      <c r="AF142" s="16">
        <f t="shared" si="34"/>
        <v>-2.2913091753305748E-2</v>
      </c>
      <c r="AG142" s="16">
        <f t="shared" si="34"/>
        <v>-4.6286867489955747E-3</v>
      </c>
      <c r="AH142" s="16">
        <f t="shared" si="34"/>
        <v>-4.9197415051073591E-2</v>
      </c>
      <c r="AI142" s="16">
        <f t="shared" si="34"/>
        <v>-4.466346597728741E-2</v>
      </c>
      <c r="AJ142" s="16">
        <f t="shared" si="34"/>
        <v>0.88580063836398049</v>
      </c>
      <c r="AK142" s="16">
        <f t="shared" si="34"/>
        <v>-4.4141578519121233E-2</v>
      </c>
      <c r="AL142" s="16">
        <f t="shared" si="34"/>
        <v>-6.2142447558975319E-3</v>
      </c>
      <c r="AM142" s="16">
        <f t="shared" si="34"/>
        <v>-1.713688610240335E-2</v>
      </c>
      <c r="AN142" s="16">
        <f t="shared" si="34"/>
        <v>-1.127343484572382E-2</v>
      </c>
      <c r="AO142" s="16">
        <f t="shared" si="34"/>
        <v>-1.77406806895599E-2</v>
      </c>
      <c r="AP142" s="16">
        <f t="shared" si="34"/>
        <v>-7.8783592644978782E-3</v>
      </c>
      <c r="AQ142" s="16">
        <f t="shared" si="34"/>
        <v>-7.5613657951307308E-3</v>
      </c>
      <c r="AR142" s="16">
        <f t="shared" si="34"/>
        <v>-1.3982373284742106E-2</v>
      </c>
      <c r="AS142" s="16">
        <f t="shared" si="34"/>
        <v>-1.2591996320147191E-2</v>
      </c>
      <c r="AT142" s="16">
        <f t="shared" si="34"/>
        <v>0</v>
      </c>
    </row>
    <row r="143" spans="2:46" x14ac:dyDescent="0.3">
      <c r="B143" s="16">
        <f t="shared" ref="B143:AT143" si="35">B92-B41</f>
        <v>-1.9829007980891353E-2</v>
      </c>
      <c r="C143" s="16">
        <f t="shared" si="35"/>
        <v>-2.5369978858350947E-2</v>
      </c>
      <c r="D143" s="16">
        <f t="shared" si="35"/>
        <v>-1.221804511278205E-2</v>
      </c>
      <c r="E143" s="16">
        <f t="shared" si="35"/>
        <v>-2.5300833076211039E-2</v>
      </c>
      <c r="F143" s="16">
        <f t="shared" si="35"/>
        <v>-2.650038971161341E-2</v>
      </c>
      <c r="G143" s="16">
        <f t="shared" si="35"/>
        <v>-1.0814895466844339E-2</v>
      </c>
      <c r="H143" s="16">
        <f t="shared" si="35"/>
        <v>-1.0193299770029212E-2</v>
      </c>
      <c r="I143" s="16">
        <f t="shared" si="35"/>
        <v>-1.5832681782642688E-2</v>
      </c>
      <c r="J143" s="16">
        <f t="shared" si="35"/>
        <v>-1.4782608695652176E-2</v>
      </c>
      <c r="K143" s="16">
        <f t="shared" si="35"/>
        <v>-1.0858802561225163E-2</v>
      </c>
      <c r="L143" s="16">
        <f t="shared" si="35"/>
        <v>-1.6129895142306873E-2</v>
      </c>
      <c r="M143" s="16">
        <f t="shared" si="35"/>
        <v>-1.734973088372373E-2</v>
      </c>
      <c r="N143" s="16">
        <f t="shared" si="35"/>
        <v>-1.4653532939971715E-2</v>
      </c>
      <c r="O143" s="16">
        <f t="shared" si="35"/>
        <v>-1.3723420298597497E-2</v>
      </c>
      <c r="P143" s="16">
        <f t="shared" si="35"/>
        <v>-1.0227173818435022E-2</v>
      </c>
      <c r="Q143" s="16">
        <f t="shared" si="35"/>
        <v>-1.6316446097018027E-2</v>
      </c>
      <c r="R143" s="16">
        <f t="shared" si="35"/>
        <v>-5.497254005781594E-3</v>
      </c>
      <c r="S143" s="16">
        <f t="shared" si="35"/>
        <v>-9.689687749812265E-3</v>
      </c>
      <c r="T143" s="16">
        <f t="shared" si="35"/>
        <v>-8.6960515639113826E-3</v>
      </c>
      <c r="U143" s="16">
        <f t="shared" si="35"/>
        <v>-5.6191549000602524E-3</v>
      </c>
      <c r="V143" s="16">
        <f t="shared" si="35"/>
        <v>-1.1654526534859521E-2</v>
      </c>
      <c r="W143" s="16">
        <f t="shared" si="35"/>
        <v>-1.4520430673998221E-2</v>
      </c>
      <c r="X143" s="16">
        <f t="shared" si="35"/>
        <v>-1.6543054991820731E-2</v>
      </c>
      <c r="Y143" s="16">
        <f t="shared" si="35"/>
        <v>-2.0429121584448932E-2</v>
      </c>
      <c r="Z143" s="16">
        <f t="shared" si="35"/>
        <v>-2.9010405754591795E-2</v>
      </c>
      <c r="AA143" s="16">
        <f t="shared" si="35"/>
        <v>-3.9413525458909512E-2</v>
      </c>
      <c r="AB143" s="16">
        <f t="shared" si="35"/>
        <v>-2.5374121958668429E-2</v>
      </c>
      <c r="AC143" s="16">
        <f t="shared" si="35"/>
        <v>-3.1410622501427753E-2</v>
      </c>
      <c r="AD143" s="16">
        <f t="shared" si="35"/>
        <v>-3.1435707518732231E-2</v>
      </c>
      <c r="AE143" s="16">
        <f t="shared" si="35"/>
        <v>-3.6704137429302293E-2</v>
      </c>
      <c r="AF143" s="16">
        <f t="shared" si="35"/>
        <v>-1.3222973654991423E-2</v>
      </c>
      <c r="AG143" s="16">
        <f t="shared" si="35"/>
        <v>-2.98087426635315E-2</v>
      </c>
      <c r="AH143" s="16">
        <f t="shared" si="35"/>
        <v>-1.0601864260400847E-2</v>
      </c>
      <c r="AI143" s="16">
        <f t="shared" si="35"/>
        <v>-1.3779891053457666E-2</v>
      </c>
      <c r="AJ143" s="16">
        <f t="shared" si="35"/>
        <v>-2.0760952461655786E-2</v>
      </c>
      <c r="AK143" s="16">
        <f t="shared" si="35"/>
        <v>0.80345034677825566</v>
      </c>
      <c r="AL143" s="16">
        <f t="shared" si="35"/>
        <v>-9.7434290362586509E-2</v>
      </c>
      <c r="AM143" s="16">
        <f t="shared" si="35"/>
        <v>-3.1338462999905017E-2</v>
      </c>
      <c r="AN143" s="16">
        <f t="shared" si="35"/>
        <v>-3.0978781233591757E-2</v>
      </c>
      <c r="AO143" s="16">
        <f t="shared" si="35"/>
        <v>-2.8974021536023031E-2</v>
      </c>
      <c r="AP143" s="16">
        <f t="shared" si="35"/>
        <v>-5.8132956152758134E-3</v>
      </c>
      <c r="AQ143" s="16">
        <f t="shared" si="35"/>
        <v>-9.7735339699045153E-3</v>
      </c>
      <c r="AR143" s="16">
        <f t="shared" si="35"/>
        <v>-1.4317057751664124E-2</v>
      </c>
      <c r="AS143" s="16">
        <f t="shared" si="35"/>
        <v>-3.1422493100275985E-2</v>
      </c>
      <c r="AT143" s="16">
        <f t="shared" si="35"/>
        <v>0</v>
      </c>
    </row>
    <row r="144" spans="2:46" x14ac:dyDescent="0.3">
      <c r="B144" s="16">
        <f t="shared" ref="B144:AT144" si="36">B93-B42</f>
        <v>-3.962010198858789E-3</v>
      </c>
      <c r="C144" s="16">
        <f t="shared" si="36"/>
        <v>-1.0570824524312895E-2</v>
      </c>
      <c r="D144" s="16">
        <f t="shared" si="36"/>
        <v>-1.5037593984962523E-2</v>
      </c>
      <c r="E144" s="16">
        <f t="shared" si="36"/>
        <v>-9.2564023449552592E-3</v>
      </c>
      <c r="F144" s="16">
        <f t="shared" si="36"/>
        <v>-2.3382696804364772E-3</v>
      </c>
      <c r="G144" s="16">
        <f t="shared" si="36"/>
        <v>-9.9617294082277683E-3</v>
      </c>
      <c r="H144" s="16">
        <f t="shared" si="36"/>
        <v>-6.650506557275157E-3</v>
      </c>
      <c r="I144" s="16">
        <f t="shared" si="36"/>
        <v>-1.0848318999218138E-2</v>
      </c>
      <c r="J144" s="16">
        <f t="shared" si="36"/>
        <v>-1.1739130434782611E-2</v>
      </c>
      <c r="K144" s="16">
        <f t="shared" si="36"/>
        <v>-2.9539903624001581E-3</v>
      </c>
      <c r="L144" s="16">
        <f t="shared" si="36"/>
        <v>-7.0885940509308821E-3</v>
      </c>
      <c r="M144" s="16">
        <f t="shared" si="36"/>
        <v>-5.8934961060829304E-3</v>
      </c>
      <c r="N144" s="16">
        <f t="shared" si="36"/>
        <v>-1.4043984980738283E-2</v>
      </c>
      <c r="O144" s="16">
        <f t="shared" si="36"/>
        <v>-8.9730055798522106E-3</v>
      </c>
      <c r="P144" s="16">
        <f t="shared" si="36"/>
        <v>-7.3113412829663143E-3</v>
      </c>
      <c r="Q144" s="16">
        <f t="shared" si="36"/>
        <v>-1.007852442574427E-2</v>
      </c>
      <c r="R144" s="16">
        <f t="shared" si="36"/>
        <v>-6.0080141959739444E-3</v>
      </c>
      <c r="S144" s="16">
        <f t="shared" si="36"/>
        <v>-7.0250236186138928E-3</v>
      </c>
      <c r="T144" s="16">
        <f t="shared" si="36"/>
        <v>-9.3696893611157853E-3</v>
      </c>
      <c r="U144" s="16">
        <f t="shared" si="36"/>
        <v>-5.1279700311738664E-3</v>
      </c>
      <c r="V144" s="16">
        <f t="shared" si="36"/>
        <v>-1.5400624349635796E-2</v>
      </c>
      <c r="W144" s="16">
        <f t="shared" si="36"/>
        <v>-9.5156563827335262E-3</v>
      </c>
      <c r="X144" s="16">
        <f t="shared" si="36"/>
        <v>-1.7428631169821542E-2</v>
      </c>
      <c r="Y144" s="16">
        <f t="shared" si="36"/>
        <v>-3.2935998532917662E-2</v>
      </c>
      <c r="Z144" s="16">
        <f t="shared" si="36"/>
        <v>-1.8744325721069904E-2</v>
      </c>
      <c r="AA144" s="16">
        <f t="shared" si="36"/>
        <v>-4.1970035141990471E-2</v>
      </c>
      <c r="AB144" s="16">
        <f t="shared" si="36"/>
        <v>-1.7471749974549526E-2</v>
      </c>
      <c r="AC144" s="16">
        <f t="shared" si="36"/>
        <v>-4.5688178183894909E-2</v>
      </c>
      <c r="AD144" s="16">
        <f t="shared" si="36"/>
        <v>-2.0325553354577554E-2</v>
      </c>
      <c r="AE144" s="16">
        <f t="shared" si="36"/>
        <v>-2.6190420314003423E-2</v>
      </c>
      <c r="AF144" s="16">
        <f t="shared" si="36"/>
        <v>-6.863833652972647E-3</v>
      </c>
      <c r="AG144" s="16">
        <f t="shared" si="36"/>
        <v>-3.3030308640832423E-2</v>
      </c>
      <c r="AH144" s="16">
        <f t="shared" si="36"/>
        <v>-2.3347925786950181E-2</v>
      </c>
      <c r="AI144" s="16">
        <f t="shared" si="36"/>
        <v>-2.3843597082448525E-2</v>
      </c>
      <c r="AJ144" s="16">
        <f t="shared" si="36"/>
        <v>-3.2511369093014705E-2</v>
      </c>
      <c r="AK144" s="16">
        <f t="shared" si="36"/>
        <v>-1.9547444689836879E-2</v>
      </c>
      <c r="AL144" s="16">
        <f t="shared" si="36"/>
        <v>0.98361092960300844</v>
      </c>
      <c r="AM144" s="16">
        <f t="shared" si="36"/>
        <v>-3.2012919160254595E-2</v>
      </c>
      <c r="AN144" s="16">
        <f t="shared" si="36"/>
        <v>-2.6469407295302231E-2</v>
      </c>
      <c r="AO144" s="16">
        <f t="shared" si="36"/>
        <v>-2.1434232242960077E-2</v>
      </c>
      <c r="AP144" s="16">
        <f t="shared" si="36"/>
        <v>-2.0678925035360677E-2</v>
      </c>
      <c r="AQ144" s="16">
        <f t="shared" si="36"/>
        <v>-1.9334599810028493E-2</v>
      </c>
      <c r="AR144" s="16">
        <f t="shared" si="36"/>
        <v>-5.2657022795730903E-2</v>
      </c>
      <c r="AS144" s="16">
        <f t="shared" si="36"/>
        <v>-4.8815547378104875E-2</v>
      </c>
      <c r="AT144" s="16">
        <f t="shared" si="36"/>
        <v>0</v>
      </c>
    </row>
    <row r="145" spans="1:46" x14ac:dyDescent="0.3">
      <c r="B145" s="16">
        <f t="shared" ref="B145:AT145" si="37">B94-B43</f>
        <v>-6.1515421508596992E-3</v>
      </c>
      <c r="C145" s="16">
        <f t="shared" si="37"/>
        <v>-2.3255813953488372E-2</v>
      </c>
      <c r="D145" s="16">
        <f t="shared" si="37"/>
        <v>-3.2894736842105518E-2</v>
      </c>
      <c r="E145" s="16">
        <f t="shared" si="37"/>
        <v>-0.10984264116013574</v>
      </c>
      <c r="F145" s="16">
        <f t="shared" si="37"/>
        <v>-0.14224473889321904</v>
      </c>
      <c r="G145" s="16">
        <f t="shared" si="37"/>
        <v>-3.0315833949508816E-2</v>
      </c>
      <c r="H145" s="16">
        <f t="shared" si="37"/>
        <v>-1.2741624712536516E-2</v>
      </c>
      <c r="I145" s="16">
        <f t="shared" si="37"/>
        <v>-1.4366692728694291E-2</v>
      </c>
      <c r="J145" s="16">
        <f t="shared" si="37"/>
        <v>-1.5731225296442688E-2</v>
      </c>
      <c r="K145" s="16">
        <f t="shared" si="37"/>
        <v>-1.2046999801967126E-2</v>
      </c>
      <c r="L145" s="16">
        <f t="shared" si="37"/>
        <v>-1.5300663385405528E-2</v>
      </c>
      <c r="M145" s="16">
        <f t="shared" si="37"/>
        <v>-4.4111014222569682E-2</v>
      </c>
      <c r="N145" s="16">
        <f t="shared" si="37"/>
        <v>-2.2187545716096938E-2</v>
      </c>
      <c r="O145" s="16">
        <f t="shared" si="37"/>
        <v>-2.7296033780726894E-2</v>
      </c>
      <c r="P145" s="16">
        <f t="shared" si="37"/>
        <v>-9.5308556010096582E-3</v>
      </c>
      <c r="Q145" s="16">
        <f t="shared" si="37"/>
        <v>-1.8200053817363438E-2</v>
      </c>
      <c r="R145" s="16">
        <f t="shared" si="37"/>
        <v>-2.0114473469430735E-2</v>
      </c>
      <c r="S145" s="16">
        <f t="shared" si="37"/>
        <v>-2.1535331023957761E-2</v>
      </c>
      <c r="T145" s="16">
        <f t="shared" si="37"/>
        <v>-1.6657225530872507E-2</v>
      </c>
      <c r="U145" s="16">
        <f t="shared" si="37"/>
        <v>-3.793257014119928E-2</v>
      </c>
      <c r="V145" s="16">
        <f t="shared" si="37"/>
        <v>-2.9136316337148804E-2</v>
      </c>
      <c r="W145" s="16">
        <f t="shared" si="37"/>
        <v>-2.5748246682690722E-2</v>
      </c>
      <c r="X145" s="16">
        <f t="shared" si="37"/>
        <v>-5.4266140240827557E-2</v>
      </c>
      <c r="Y145" s="16">
        <f t="shared" si="37"/>
        <v>-2.6774252704933069E-2</v>
      </c>
      <c r="Z145" s="16">
        <f t="shared" si="37"/>
        <v>-4.1748725469655697E-2</v>
      </c>
      <c r="AA145" s="16">
        <f t="shared" si="37"/>
        <v>-7.3742081030938572E-2</v>
      </c>
      <c r="AB145" s="16">
        <f t="shared" si="37"/>
        <v>-1.3679629441107602E-2</v>
      </c>
      <c r="AC145" s="16">
        <f t="shared" si="37"/>
        <v>-0.17075956596230724</v>
      </c>
      <c r="AD145" s="16">
        <f t="shared" si="37"/>
        <v>-2.876582551029196E-2</v>
      </c>
      <c r="AE145" s="16">
        <f t="shared" si="37"/>
        <v>-3.2033981835676233E-2</v>
      </c>
      <c r="AF145" s="16">
        <f t="shared" si="37"/>
        <v>-1.0396689209649744E-2</v>
      </c>
      <c r="AG145" s="16">
        <f t="shared" si="37"/>
        <v>-1.8088907815074707E-2</v>
      </c>
      <c r="AH145" s="16">
        <f t="shared" si="37"/>
        <v>-3.2014056404300308E-2</v>
      </c>
      <c r="AI145" s="16">
        <f t="shared" si="37"/>
        <v>-5.7243098513525985E-2</v>
      </c>
      <c r="AJ145" s="16">
        <f t="shared" si="37"/>
        <v>-5.4882354602717273E-2</v>
      </c>
      <c r="AK145" s="16">
        <f t="shared" si="37"/>
        <v>-3.3573559610988415E-2</v>
      </c>
      <c r="AL145" s="16">
        <f t="shared" si="37"/>
        <v>-3.8565656296256787E-2</v>
      </c>
      <c r="AM145" s="16">
        <f t="shared" si="37"/>
        <v>0.8859789113707609</v>
      </c>
      <c r="AN145" s="16">
        <f t="shared" si="37"/>
        <v>-5.5178058498316723E-2</v>
      </c>
      <c r="AO145" s="16">
        <f t="shared" si="37"/>
        <v>-1.3850818325250659E-2</v>
      </c>
      <c r="AP145" s="16">
        <f t="shared" si="37"/>
        <v>-9.1089108910891101E-3</v>
      </c>
      <c r="AQ145" s="16">
        <f t="shared" si="37"/>
        <v>-1.3572964055391691E-2</v>
      </c>
      <c r="AR145" s="16">
        <f t="shared" si="37"/>
        <v>-4.3323044884905723E-2</v>
      </c>
      <c r="AS145" s="16">
        <f t="shared" si="37"/>
        <v>-2.6793928242870281E-2</v>
      </c>
      <c r="AT145" s="16">
        <f t="shared" si="37"/>
        <v>0</v>
      </c>
    </row>
    <row r="146" spans="1:46" x14ac:dyDescent="0.3">
      <c r="B146" s="16">
        <f t="shared" ref="B146:AT146" si="38">B95-B44</f>
        <v>-3.2321662148584859E-3</v>
      </c>
      <c r="C146" s="16">
        <f t="shared" si="38"/>
        <v>-1.4799154334038053E-2</v>
      </c>
      <c r="D146" s="16">
        <f t="shared" si="38"/>
        <v>-1.6917293233082838E-2</v>
      </c>
      <c r="E146" s="16">
        <f t="shared" si="38"/>
        <v>-1.3576056772601047E-2</v>
      </c>
      <c r="F146" s="16">
        <f t="shared" si="38"/>
        <v>-2.5331254871395172E-2</v>
      </c>
      <c r="G146" s="16">
        <f t="shared" si="38"/>
        <v>-1.7664600108880237E-2</v>
      </c>
      <c r="H146" s="16">
        <f t="shared" si="38"/>
        <v>-1.317670458076947E-2</v>
      </c>
      <c r="I146" s="16">
        <f t="shared" si="38"/>
        <v>-1.3389366692728694E-2</v>
      </c>
      <c r="J146" s="16">
        <f t="shared" si="38"/>
        <v>-2.4584980237154157E-2</v>
      </c>
      <c r="K146" s="16">
        <f t="shared" si="38"/>
        <v>-4.3732259555086138E-3</v>
      </c>
      <c r="L146" s="16">
        <f t="shared" si="38"/>
        <v>-1.1903488123261292E-2</v>
      </c>
      <c r="M146" s="16">
        <f t="shared" si="38"/>
        <v>-4.2998466488258114E-2</v>
      </c>
      <c r="N146" s="16">
        <f t="shared" si="38"/>
        <v>-1.6433412980933339E-2</v>
      </c>
      <c r="O146" s="16">
        <f t="shared" si="38"/>
        <v>-2.2847232694917813E-2</v>
      </c>
      <c r="P146" s="16">
        <f t="shared" si="38"/>
        <v>-1.5144921229001648E-2</v>
      </c>
      <c r="Q146" s="16">
        <f t="shared" si="38"/>
        <v>-1.9276401086132242E-2</v>
      </c>
      <c r="R146" s="16">
        <f t="shared" si="38"/>
        <v>-2.8581508374887443E-2</v>
      </c>
      <c r="S146" s="16">
        <f t="shared" si="38"/>
        <v>-2.3279474818923968E-2</v>
      </c>
      <c r="T146" s="16">
        <f t="shared" si="38"/>
        <v>-1.9948864767212204E-2</v>
      </c>
      <c r="U146" s="16">
        <f t="shared" si="38"/>
        <v>-1.2449899143373589E-2</v>
      </c>
      <c r="V146" s="16">
        <f t="shared" si="38"/>
        <v>-2.3517169614984394E-2</v>
      </c>
      <c r="W146" s="16">
        <f t="shared" si="38"/>
        <v>-1.7088670112936681E-2</v>
      </c>
      <c r="X146" s="16">
        <f t="shared" si="38"/>
        <v>-2.5066725705078553E-2</v>
      </c>
      <c r="Y146" s="16">
        <f t="shared" si="38"/>
        <v>-1.8301852191454249E-2</v>
      </c>
      <c r="Z146" s="16">
        <f t="shared" si="38"/>
        <v>-1.9889657098959422E-2</v>
      </c>
      <c r="AA146" s="16">
        <f t="shared" si="38"/>
        <v>-3.7758606181303819E-2</v>
      </c>
      <c r="AB146" s="16">
        <f t="shared" si="38"/>
        <v>-2.4114323526417587E-2</v>
      </c>
      <c r="AC146" s="16">
        <f t="shared" si="38"/>
        <v>-4.0548258138206734E-2</v>
      </c>
      <c r="AD146" s="16">
        <f t="shared" si="38"/>
        <v>-0.11075704073723192</v>
      </c>
      <c r="AE146" s="16">
        <f t="shared" si="38"/>
        <v>-1.5934852502874845E-2</v>
      </c>
      <c r="AF146" s="16">
        <f t="shared" si="38"/>
        <v>-1.3727667305945294E-2</v>
      </c>
      <c r="AG146" s="16">
        <f t="shared" si="38"/>
        <v>-1.7089111477291662E-2</v>
      </c>
      <c r="AH146" s="16">
        <f t="shared" si="38"/>
        <v>-1.1167694094523364E-2</v>
      </c>
      <c r="AI146" s="16">
        <f t="shared" si="38"/>
        <v>-3.0883574923829746E-2</v>
      </c>
      <c r="AJ146" s="16">
        <f t="shared" si="38"/>
        <v>-3.2426630511538559E-2</v>
      </c>
      <c r="AK146" s="16">
        <f t="shared" si="38"/>
        <v>-3.9075516292766087E-2</v>
      </c>
      <c r="AL146" s="16">
        <f t="shared" si="38"/>
        <v>-1.9056128232140715E-2</v>
      </c>
      <c r="AM146" s="16">
        <f t="shared" si="38"/>
        <v>-2.715873468224566E-2</v>
      </c>
      <c r="AN146" s="16">
        <f t="shared" si="38"/>
        <v>0.96038854742564161</v>
      </c>
      <c r="AO146" s="16">
        <f t="shared" si="38"/>
        <v>-1.0738928433803266E-2</v>
      </c>
      <c r="AP146" s="16">
        <f t="shared" si="38"/>
        <v>-1.0099009900990099E-2</v>
      </c>
      <c r="AQ146" s="16">
        <f t="shared" si="38"/>
        <v>-1.6022596610508422E-2</v>
      </c>
      <c r="AR146" s="16">
        <f t="shared" si="38"/>
        <v>-4.9347365289502051E-2</v>
      </c>
      <c r="AS146" s="16">
        <f t="shared" si="38"/>
        <v>-1.7536798528058874E-2</v>
      </c>
      <c r="AT146" s="16">
        <f t="shared" si="38"/>
        <v>0</v>
      </c>
    </row>
    <row r="147" spans="1:46" x14ac:dyDescent="0.3">
      <c r="B147" s="16">
        <f t="shared" ref="B147:AT147" si="39">B96-B45</f>
        <v>-3.7155693730924534E-3</v>
      </c>
      <c r="C147" s="16">
        <f t="shared" si="39"/>
        <v>-1.0570824524312895E-2</v>
      </c>
      <c r="D147" s="16">
        <f t="shared" si="39"/>
        <v>-5.6390977443609453E-3</v>
      </c>
      <c r="E147" s="16">
        <f t="shared" si="39"/>
        <v>-6.7880283863005235E-3</v>
      </c>
      <c r="F147" s="16">
        <f t="shared" si="39"/>
        <v>-1.1691348402182387E-2</v>
      </c>
      <c r="G147" s="16">
        <f t="shared" si="39"/>
        <v>-3.1282755482607595E-3</v>
      </c>
      <c r="H147" s="16">
        <f t="shared" si="39"/>
        <v>-1.6160109391509729E-3</v>
      </c>
      <c r="I147" s="16">
        <f t="shared" si="39"/>
        <v>-1.6614542611415168E-3</v>
      </c>
      <c r="J147" s="16">
        <f t="shared" si="39"/>
        <v>-2.0553359683794471E-3</v>
      </c>
      <c r="K147" s="16">
        <f t="shared" si="39"/>
        <v>-1.2872136774704599E-3</v>
      </c>
      <c r="L147" s="16">
        <f t="shared" si="39"/>
        <v>-1.5247164562379634E-3</v>
      </c>
      <c r="M147" s="16">
        <f t="shared" si="39"/>
        <v>-1.3230297381002498E-3</v>
      </c>
      <c r="N147" s="16">
        <f t="shared" si="39"/>
        <v>-1.9505534695469836E-3</v>
      </c>
      <c r="O147" s="16">
        <f t="shared" si="39"/>
        <v>-2.0735937264364352E-3</v>
      </c>
      <c r="P147" s="16">
        <f t="shared" si="39"/>
        <v>-1.2620767690834707E-3</v>
      </c>
      <c r="Q147" s="16">
        <f t="shared" si="39"/>
        <v>-1.8346828444922819E-3</v>
      </c>
      <c r="R147" s="16">
        <f t="shared" si="39"/>
        <v>-1.7955590191298118E-3</v>
      </c>
      <c r="S147" s="16">
        <f t="shared" si="39"/>
        <v>-1.5261258205954318E-3</v>
      </c>
      <c r="T147" s="16">
        <f t="shared" si="39"/>
        <v>-1.485065143836979E-3</v>
      </c>
      <c r="U147" s="16">
        <f t="shared" si="39"/>
        <v>-1.480103738244309E-3</v>
      </c>
      <c r="V147" s="16">
        <f t="shared" si="39"/>
        <v>-2.7055150884495319E-3</v>
      </c>
      <c r="W147" s="16">
        <f t="shared" si="39"/>
        <v>-1.7450857726120309E-3</v>
      </c>
      <c r="X147" s="16">
        <f t="shared" si="39"/>
        <v>-4.1326888306704576E-3</v>
      </c>
      <c r="Y147" s="16">
        <f t="shared" si="39"/>
        <v>-1.5184302218962041E-2</v>
      </c>
      <c r="Z147" s="16">
        <f t="shared" si="39"/>
        <v>-2.8912633563796348E-3</v>
      </c>
      <c r="AA147" s="16">
        <f t="shared" si="39"/>
        <v>-8.2345257033406925E-3</v>
      </c>
      <c r="AB147" s="16">
        <f t="shared" si="39"/>
        <v>-1.2496182428993178E-2</v>
      </c>
      <c r="AC147" s="16">
        <f t="shared" si="39"/>
        <v>-2.3986293546544829E-2</v>
      </c>
      <c r="AD147" s="16">
        <f t="shared" si="39"/>
        <v>-1.9808801998105242E-2</v>
      </c>
      <c r="AE147" s="16">
        <f t="shared" si="39"/>
        <v>-8.3781183262537848E-3</v>
      </c>
      <c r="AF147" s="16">
        <f t="shared" si="39"/>
        <v>-2.6244069849601297E-3</v>
      </c>
      <c r="AG147" s="16">
        <f t="shared" si="39"/>
        <v>-4.3139360500638758E-3</v>
      </c>
      <c r="AH147" s="16">
        <f t="shared" si="39"/>
        <v>-3.2758569343935202E-3</v>
      </c>
      <c r="AI147" s="16">
        <f t="shared" si="39"/>
        <v>-2.0819868894838885E-2</v>
      </c>
      <c r="AJ147" s="16">
        <f t="shared" si="39"/>
        <v>-4.8583453379657075E-3</v>
      </c>
      <c r="AK147" s="16">
        <f t="shared" si="39"/>
        <v>-8.8631872602580493E-3</v>
      </c>
      <c r="AL147" s="16">
        <f t="shared" si="39"/>
        <v>-3.0204429983064184E-3</v>
      </c>
      <c r="AM147" s="16">
        <f t="shared" si="39"/>
        <v>-6.2980906241094344E-3</v>
      </c>
      <c r="AN147" s="16">
        <f t="shared" si="39"/>
        <v>-4.9881088426969771E-3</v>
      </c>
      <c r="AO147" s="16">
        <f t="shared" si="39"/>
        <v>0.97959821720700613</v>
      </c>
      <c r="AP147" s="16">
        <f t="shared" si="39"/>
        <v>-2.036775106082037E-3</v>
      </c>
      <c r="AQ147" s="16">
        <f t="shared" si="39"/>
        <v>-1.1748237764335351E-3</v>
      </c>
      <c r="AR147" s="16">
        <f t="shared" si="39"/>
        <v>-1.2457699602097354E-2</v>
      </c>
      <c r="AS147" s="16">
        <f t="shared" si="39"/>
        <v>-1.1988270469181231E-2</v>
      </c>
      <c r="AT147" s="16">
        <f t="shared" si="39"/>
        <v>0</v>
      </c>
    </row>
    <row r="148" spans="1:46" x14ac:dyDescent="0.3">
      <c r="B148" s="16">
        <f t="shared" ref="B148:AT148" si="40">B97-B46</f>
        <v>-4.075752118443252E-4</v>
      </c>
      <c r="C148" s="16">
        <f t="shared" si="40"/>
        <v>0</v>
      </c>
      <c r="D148" s="16">
        <f t="shared" si="40"/>
        <v>-9.398496240601577E-4</v>
      </c>
      <c r="E148" s="16">
        <f t="shared" si="40"/>
        <v>-3.0854674483184197E-4</v>
      </c>
      <c r="F148" s="16">
        <f t="shared" si="40"/>
        <v>-1.1691348402182386E-3</v>
      </c>
      <c r="G148" s="16">
        <f t="shared" si="40"/>
        <v>-8.2066449447879659E-4</v>
      </c>
      <c r="H148" s="16">
        <f t="shared" si="40"/>
        <v>-5.593884020137983E-4</v>
      </c>
      <c r="I148" s="16">
        <f t="shared" si="40"/>
        <v>-8.7959343236903827E-4</v>
      </c>
      <c r="J148" s="16">
        <f t="shared" si="40"/>
        <v>-1.0671936758893284E-3</v>
      </c>
      <c r="K148" s="16">
        <f t="shared" si="40"/>
        <v>-3.6306026800448873E-4</v>
      </c>
      <c r="L148" s="16">
        <f t="shared" si="40"/>
        <v>-6.4198587631072133E-4</v>
      </c>
      <c r="M148" s="16">
        <f t="shared" si="40"/>
        <v>-1.8342003187298915E-3</v>
      </c>
      <c r="N148" s="16">
        <f t="shared" si="40"/>
        <v>-1.6579704491149361E-3</v>
      </c>
      <c r="O148" s="16">
        <f t="shared" si="40"/>
        <v>-1.0179460111597047E-3</v>
      </c>
      <c r="P148" s="16">
        <f t="shared" si="40"/>
        <v>-7.3983810601444835E-4</v>
      </c>
      <c r="Q148" s="16">
        <f t="shared" si="40"/>
        <v>-7.0941069987034901E-4</v>
      </c>
      <c r="R148" s="16">
        <f t="shared" si="40"/>
        <v>-5.7394701784501323E-4</v>
      </c>
      <c r="S148" s="16">
        <f t="shared" si="40"/>
        <v>-8.2362345873404261E-4</v>
      </c>
      <c r="T148" s="16">
        <f t="shared" si="40"/>
        <v>-1.2554158947900235E-3</v>
      </c>
      <c r="U148" s="16">
        <f t="shared" si="40"/>
        <v>-6.2216750058942188E-4</v>
      </c>
      <c r="V148" s="16">
        <f t="shared" si="40"/>
        <v>-2.2892819979188346E-3</v>
      </c>
      <c r="W148" s="16">
        <f t="shared" si="40"/>
        <v>-8.5607981297948694E-4</v>
      </c>
      <c r="X148" s="16">
        <f t="shared" si="40"/>
        <v>-7.9947849402851119E-4</v>
      </c>
      <c r="Y148" s="16">
        <f t="shared" si="40"/>
        <v>-1.6504676324958741E-3</v>
      </c>
      <c r="Z148" s="16">
        <f t="shared" si="40"/>
        <v>-9.8470563586842649E-4</v>
      </c>
      <c r="AA148" s="16">
        <f t="shared" si="40"/>
        <v>-3.069414447084657E-3</v>
      </c>
      <c r="AB148" s="16">
        <f t="shared" si="40"/>
        <v>-7.6351420136414527E-4</v>
      </c>
      <c r="AC148" s="16">
        <f t="shared" si="40"/>
        <v>-5.7110222729868647E-4</v>
      </c>
      <c r="AD148" s="16">
        <f t="shared" si="40"/>
        <v>-2.8421324605977087E-3</v>
      </c>
      <c r="AE148" s="16">
        <f t="shared" si="40"/>
        <v>-2.0417263148013419E-3</v>
      </c>
      <c r="AF148" s="16">
        <f t="shared" si="40"/>
        <v>-2.3215907943878069E-3</v>
      </c>
      <c r="AG148" s="16">
        <f t="shared" si="40"/>
        <v>-1.1108848197589379E-3</v>
      </c>
      <c r="AH148" s="16">
        <f t="shared" si="40"/>
        <v>-9.8275708031805593E-4</v>
      </c>
      <c r="AI148" s="16">
        <f t="shared" si="40"/>
        <v>-2.3774351398762809E-3</v>
      </c>
      <c r="AJ148" s="16">
        <f t="shared" si="40"/>
        <v>-3.8697285540773368E-3</v>
      </c>
      <c r="AK148" s="16">
        <f t="shared" si="40"/>
        <v>-3.3127978612112054E-3</v>
      </c>
      <c r="AL148" s="16">
        <f t="shared" si="40"/>
        <v>-6.4009388043579729E-4</v>
      </c>
      <c r="AM148" s="16">
        <f t="shared" si="40"/>
        <v>-3.1442956207846503E-3</v>
      </c>
      <c r="AN148" s="16">
        <f t="shared" si="40"/>
        <v>-2.5326620749297349E-3</v>
      </c>
      <c r="AO148" s="16">
        <f t="shared" si="40"/>
        <v>-2.7847052065989512E-3</v>
      </c>
      <c r="AP148" s="16">
        <f t="shared" si="40"/>
        <v>0.96864214992927866</v>
      </c>
      <c r="AQ148" s="16">
        <f t="shared" si="40"/>
        <v>-1.2998050292456133E-3</v>
      </c>
      <c r="AR148" s="16">
        <f t="shared" si="40"/>
        <v>-7.065560968353723E-4</v>
      </c>
      <c r="AS148" s="16">
        <f t="shared" si="40"/>
        <v>-4.8873045078196868E-3</v>
      </c>
      <c r="AT148" s="16">
        <f t="shared" si="40"/>
        <v>0</v>
      </c>
    </row>
    <row r="149" spans="1:46" x14ac:dyDescent="0.3">
      <c r="B149" s="16">
        <f t="shared" ref="B149:AT149" si="41">B98-B47</f>
        <v>-9.4784932987052368E-5</v>
      </c>
      <c r="C149" s="16">
        <f t="shared" si="41"/>
        <v>-2.1141649048625794E-3</v>
      </c>
      <c r="D149" s="16">
        <f t="shared" si="41"/>
        <v>0</v>
      </c>
      <c r="E149" s="16">
        <f t="shared" si="41"/>
        <v>-3.0854674483184197E-4</v>
      </c>
      <c r="F149" s="16">
        <f t="shared" si="41"/>
        <v>-3.8971161340607956E-4</v>
      </c>
      <c r="G149" s="16">
        <f t="shared" si="41"/>
        <v>-5.9315354551437772E-4</v>
      </c>
      <c r="H149" s="16">
        <f t="shared" si="41"/>
        <v>-9.9446827024675258E-4</v>
      </c>
      <c r="I149" s="16">
        <f t="shared" si="41"/>
        <v>-9.7732603596559805E-4</v>
      </c>
      <c r="J149" s="16">
        <f t="shared" si="41"/>
        <v>-6.3241106719367601E-4</v>
      </c>
      <c r="K149" s="16">
        <f t="shared" si="41"/>
        <v>-2.6404383127599183E-4</v>
      </c>
      <c r="L149" s="16">
        <f t="shared" si="41"/>
        <v>-7.4898352236250822E-4</v>
      </c>
      <c r="M149" s="16">
        <f t="shared" si="41"/>
        <v>-5.6830141022942539E-3</v>
      </c>
      <c r="N149" s="16">
        <f t="shared" si="41"/>
        <v>-6.8269371434144424E-4</v>
      </c>
      <c r="O149" s="16">
        <f t="shared" si="41"/>
        <v>-7.5403408234052188E-4</v>
      </c>
      <c r="P149" s="16">
        <f t="shared" si="41"/>
        <v>-1.0444773261380448E-3</v>
      </c>
      <c r="Q149" s="16">
        <f t="shared" si="41"/>
        <v>-6.360233860906577E-4</v>
      </c>
      <c r="R149" s="16">
        <f t="shared" si="41"/>
        <v>-3.738553969449168E-4</v>
      </c>
      <c r="S149" s="16">
        <f t="shared" si="41"/>
        <v>-4.6026016811608262E-4</v>
      </c>
      <c r="T149" s="16">
        <f t="shared" si="41"/>
        <v>-6.4301789733147547E-4</v>
      </c>
      <c r="U149" s="16">
        <f t="shared" si="41"/>
        <v>-3.6675136876850132E-4</v>
      </c>
      <c r="V149" s="16">
        <f t="shared" si="41"/>
        <v>-1.0405827263267431E-3</v>
      </c>
      <c r="W149" s="16">
        <f t="shared" si="41"/>
        <v>-1.415824306081459E-3</v>
      </c>
      <c r="X149" s="16">
        <f t="shared" si="41"/>
        <v>-7.9947849402851119E-4</v>
      </c>
      <c r="Y149" s="16">
        <f t="shared" si="41"/>
        <v>-2.7874564459930318E-3</v>
      </c>
      <c r="Z149" s="16">
        <f t="shared" si="41"/>
        <v>-5.0282840980515398E-4</v>
      </c>
      <c r="AA149" s="16">
        <f t="shared" si="41"/>
        <v>-1.727046510043717E-3</v>
      </c>
      <c r="AB149" s="16">
        <f t="shared" si="41"/>
        <v>-4.822864705283517E-3</v>
      </c>
      <c r="AC149" s="16">
        <f t="shared" si="41"/>
        <v>-1.7133066818960591E-3</v>
      </c>
      <c r="AD149" s="16">
        <f t="shared" si="41"/>
        <v>-6.8900180862974765E-4</v>
      </c>
      <c r="AE149" s="16">
        <f t="shared" si="41"/>
        <v>-8.448522681936589E-4</v>
      </c>
      <c r="AF149" s="16">
        <f t="shared" si="41"/>
        <v>-2.2206520641970331E-3</v>
      </c>
      <c r="AG149" s="16">
        <f t="shared" si="41"/>
        <v>-2.4254318564736811E-3</v>
      </c>
      <c r="AH149" s="16">
        <f t="shared" si="41"/>
        <v>-3.5736621102474761E-4</v>
      </c>
      <c r="AI149" s="16">
        <f t="shared" si="41"/>
        <v>-2.5390084018096207E-4</v>
      </c>
      <c r="AJ149" s="16">
        <f t="shared" si="41"/>
        <v>-7.3440103945993259E-4</v>
      </c>
      <c r="AK149" s="16">
        <f t="shared" si="41"/>
        <v>-6.1993878104537182E-4</v>
      </c>
      <c r="AL149" s="16">
        <f t="shared" si="41"/>
        <v>-2.8004107269066135E-4</v>
      </c>
      <c r="AM149" s="16">
        <f t="shared" si="41"/>
        <v>-6.5545739526930776E-4</v>
      </c>
      <c r="AN149" s="16">
        <f t="shared" si="41"/>
        <v>-1.8222812490348093E-3</v>
      </c>
      <c r="AO149" s="16">
        <f t="shared" si="41"/>
        <v>-1.6722772781142527E-4</v>
      </c>
      <c r="AP149" s="16">
        <f t="shared" si="41"/>
        <v>-4.8090523338048091E-4</v>
      </c>
      <c r="AQ149" s="16">
        <f t="shared" si="41"/>
        <v>0.94869519572064187</v>
      </c>
      <c r="AR149" s="16">
        <f t="shared" si="41"/>
        <v>-1.8965453125581045E-3</v>
      </c>
      <c r="AS149" s="16">
        <f t="shared" si="41"/>
        <v>-4.1110855565777366E-3</v>
      </c>
      <c r="AT149" s="16">
        <f t="shared" si="41"/>
        <v>0</v>
      </c>
    </row>
    <row r="150" spans="1:46" x14ac:dyDescent="0.3">
      <c r="B150" s="16">
        <f t="shared" ref="B150:AT150" si="42">B99-B48</f>
        <v>-2.3696233246763094E-4</v>
      </c>
      <c r="C150" s="16">
        <f t="shared" si="42"/>
        <v>0</v>
      </c>
      <c r="D150" s="16">
        <f t="shared" si="42"/>
        <v>0</v>
      </c>
      <c r="E150" s="16">
        <f t="shared" si="42"/>
        <v>-9.2564023449552579E-4</v>
      </c>
      <c r="F150" s="16">
        <f t="shared" si="42"/>
        <v>-3.8971161340607956E-4</v>
      </c>
      <c r="G150" s="16">
        <f t="shared" si="42"/>
        <v>-7.3941058413436135E-4</v>
      </c>
      <c r="H150" s="16">
        <f t="shared" si="42"/>
        <v>-6.2154266890422031E-4</v>
      </c>
      <c r="I150" s="16">
        <f t="shared" si="42"/>
        <v>-5.8639562157935881E-4</v>
      </c>
      <c r="J150" s="16">
        <f t="shared" si="42"/>
        <v>-7.5098814229249025E-4</v>
      </c>
      <c r="K150" s="16">
        <f t="shared" si="42"/>
        <v>-1.8153013400224436E-4</v>
      </c>
      <c r="L150" s="16">
        <f t="shared" si="42"/>
        <v>-4.2799058420714761E-4</v>
      </c>
      <c r="M150" s="16">
        <f t="shared" si="42"/>
        <v>-9.6220344589109067E-4</v>
      </c>
      <c r="N150" s="16">
        <f t="shared" si="42"/>
        <v>-6.3392987760276973E-4</v>
      </c>
      <c r="O150" s="16">
        <f t="shared" si="42"/>
        <v>-4.9012215352133926E-4</v>
      </c>
      <c r="P150" s="16">
        <f t="shared" si="42"/>
        <v>-4.3519888589085203E-4</v>
      </c>
      <c r="Q150" s="16">
        <f t="shared" si="42"/>
        <v>-6.360233860906577E-4</v>
      </c>
      <c r="R150" s="16">
        <f t="shared" si="42"/>
        <v>-5.3708803504762693E-4</v>
      </c>
      <c r="S150" s="16">
        <f t="shared" si="42"/>
        <v>-5.0870860686514393E-4</v>
      </c>
      <c r="T150" s="16">
        <f t="shared" si="42"/>
        <v>-5.0522834790330212E-4</v>
      </c>
      <c r="U150" s="16">
        <f t="shared" si="42"/>
        <v>-3.0780918450213507E-4</v>
      </c>
      <c r="V150" s="16">
        <f t="shared" si="42"/>
        <v>-6.2434963579604576E-4</v>
      </c>
      <c r="W150" s="16">
        <f t="shared" si="42"/>
        <v>-4.9389219979585782E-4</v>
      </c>
      <c r="X150" s="16">
        <f t="shared" si="42"/>
        <v>-3.9358941244480554E-4</v>
      </c>
      <c r="Y150" s="16">
        <f t="shared" si="42"/>
        <v>-7.3354116999816625E-4</v>
      </c>
      <c r="Z150" s="16">
        <f t="shared" si="42"/>
        <v>-7.7519379844961228E-4</v>
      </c>
      <c r="AA150" s="16">
        <f t="shared" si="42"/>
        <v>-1.2982901838843718E-3</v>
      </c>
      <c r="AB150" s="16">
        <f t="shared" si="42"/>
        <v>-8.3986562150055975E-4</v>
      </c>
      <c r="AC150" s="16">
        <f t="shared" si="42"/>
        <v>-5.7110222729868647E-4</v>
      </c>
      <c r="AD150" s="16">
        <f t="shared" si="42"/>
        <v>-6.0287658255102914E-4</v>
      </c>
      <c r="AE150" s="16">
        <f t="shared" si="42"/>
        <v>-2.4641524488981715E-3</v>
      </c>
      <c r="AF150" s="16">
        <f t="shared" si="42"/>
        <v>-6.056323811446453E-4</v>
      </c>
      <c r="AG150" s="16">
        <f t="shared" si="42"/>
        <v>-1.2590027957267963E-3</v>
      </c>
      <c r="AH150" s="16">
        <f t="shared" si="42"/>
        <v>-7.3260073260073269E-3</v>
      </c>
      <c r="AI150" s="16">
        <f t="shared" si="42"/>
        <v>-9.0019388791431985E-4</v>
      </c>
      <c r="AJ150" s="16">
        <f t="shared" si="42"/>
        <v>-1.1016015591898988E-3</v>
      </c>
      <c r="AK150" s="16">
        <f t="shared" si="42"/>
        <v>-5.7150606377620215E-4</v>
      </c>
      <c r="AL150" s="16">
        <f t="shared" si="42"/>
        <v>-5.2674392244195819E-4</v>
      </c>
      <c r="AM150" s="16">
        <f t="shared" si="42"/>
        <v>-1.1969222000569966E-3</v>
      </c>
      <c r="AN150" s="16">
        <f t="shared" si="42"/>
        <v>-4.1387404639095671E-3</v>
      </c>
      <c r="AO150" s="16">
        <f t="shared" si="42"/>
        <v>-3.3445545562285053E-4</v>
      </c>
      <c r="AP150" s="16">
        <f t="shared" si="42"/>
        <v>-1.4144271570014144E-4</v>
      </c>
      <c r="AQ150" s="16">
        <f t="shared" si="42"/>
        <v>-6.8739689046643003E-4</v>
      </c>
      <c r="AR150" s="16">
        <f t="shared" si="42"/>
        <v>0.94607861366256374</v>
      </c>
      <c r="AS150" s="16">
        <f t="shared" si="42"/>
        <v>-2.8748850045998155E-3</v>
      </c>
      <c r="AT150" s="16">
        <f t="shared" si="42"/>
        <v>0</v>
      </c>
    </row>
    <row r="151" spans="1:46" x14ac:dyDescent="0.3">
      <c r="B151" s="16">
        <f t="shared" ref="B151:AT151" si="43">B100-B49</f>
        <v>-2.0663115391177417E-3</v>
      </c>
      <c r="C151" s="16">
        <f t="shared" si="43"/>
        <v>-4.2283298097251587E-3</v>
      </c>
      <c r="D151" s="16">
        <f t="shared" si="43"/>
        <v>-9.398496240601577E-4</v>
      </c>
      <c r="E151" s="16">
        <f t="shared" si="43"/>
        <v>-1.5427337241592097E-3</v>
      </c>
      <c r="F151" s="16">
        <f t="shared" si="43"/>
        <v>-7.7942322681215912E-4</v>
      </c>
      <c r="G151" s="16">
        <f t="shared" si="43"/>
        <v>-2.0963508868864309E-3</v>
      </c>
      <c r="H151" s="16">
        <f t="shared" si="43"/>
        <v>-1.4917024053701287E-3</v>
      </c>
      <c r="I151" s="16">
        <f t="shared" si="43"/>
        <v>-1.4659890539483972E-3</v>
      </c>
      <c r="J151" s="16">
        <f t="shared" si="43"/>
        <v>-1.897233201581028E-3</v>
      </c>
      <c r="K151" s="16">
        <f t="shared" si="43"/>
        <v>-7.426232754637269E-4</v>
      </c>
      <c r="L151" s="16">
        <f t="shared" si="43"/>
        <v>-1.4444682216991232E-3</v>
      </c>
      <c r="M151" s="16">
        <f t="shared" si="43"/>
        <v>-4.3900532218781006E-3</v>
      </c>
      <c r="N151" s="16">
        <f t="shared" si="43"/>
        <v>-1.1947140000975276E-3</v>
      </c>
      <c r="O151" s="16">
        <f t="shared" si="43"/>
        <v>-1.4703664605640176E-3</v>
      </c>
      <c r="P151" s="16">
        <f t="shared" si="43"/>
        <v>-1.0009574375489595E-3</v>
      </c>
      <c r="Q151" s="16">
        <f t="shared" si="43"/>
        <v>-1.2475843342547516E-3</v>
      </c>
      <c r="R151" s="16">
        <f t="shared" si="43"/>
        <v>-1.1531596046610814E-3</v>
      </c>
      <c r="S151" s="16">
        <f t="shared" si="43"/>
        <v>-1.2838836268501252E-3</v>
      </c>
      <c r="T151" s="16">
        <f t="shared" si="43"/>
        <v>-1.3625855443452695E-3</v>
      </c>
      <c r="U151" s="16">
        <f t="shared" si="43"/>
        <v>-6.1561836900427013E-4</v>
      </c>
      <c r="V151" s="16">
        <f t="shared" si="43"/>
        <v>-1.6649323621227888E-3</v>
      </c>
      <c r="W151" s="16">
        <f t="shared" si="43"/>
        <v>-1.8438642125712024E-3</v>
      </c>
      <c r="X151" s="16">
        <f t="shared" si="43"/>
        <v>-3.2594123218085452E-3</v>
      </c>
      <c r="Y151" s="16">
        <f t="shared" si="43"/>
        <v>-6.4918393544837714E-3</v>
      </c>
      <c r="Z151" s="16">
        <f t="shared" si="43"/>
        <v>-2.2836790278650742E-3</v>
      </c>
      <c r="AA151" s="16">
        <f t="shared" si="43"/>
        <v>-5.7902139373855474E-3</v>
      </c>
      <c r="AB151" s="16">
        <f t="shared" si="43"/>
        <v>-1.9087855034103632E-3</v>
      </c>
      <c r="AC151" s="16">
        <f t="shared" si="43"/>
        <v>-2.8555111364934318E-3</v>
      </c>
      <c r="AD151" s="16">
        <f t="shared" si="43"/>
        <v>-3.5311342692274559E-3</v>
      </c>
      <c r="AE151" s="16">
        <f t="shared" si="43"/>
        <v>-6.9700312125976849E-3</v>
      </c>
      <c r="AF151" s="16">
        <f t="shared" si="43"/>
        <v>-3.5328555566770978E-3</v>
      </c>
      <c r="AG151" s="16">
        <f t="shared" si="43"/>
        <v>-4.9434374479272736E-3</v>
      </c>
      <c r="AH151" s="16">
        <f t="shared" si="43"/>
        <v>-3.4843205574912892E-3</v>
      </c>
      <c r="AI151" s="16">
        <f t="shared" si="43"/>
        <v>-5.7473917459145039E-3</v>
      </c>
      <c r="AJ151" s="16">
        <f t="shared" si="43"/>
        <v>-9.8014292574075627E-3</v>
      </c>
      <c r="AK151" s="16">
        <f t="shared" si="43"/>
        <v>-4.4364369018559417E-3</v>
      </c>
      <c r="AL151" s="16">
        <f t="shared" si="43"/>
        <v>-4.4406512955233431E-3</v>
      </c>
      <c r="AM151" s="16">
        <f t="shared" si="43"/>
        <v>-6.0986035907666025E-3</v>
      </c>
      <c r="AN151" s="16">
        <f t="shared" si="43"/>
        <v>-6.254439880161845E-3</v>
      </c>
      <c r="AO151" s="16">
        <f t="shared" si="43"/>
        <v>-2.9955575590568358E-3</v>
      </c>
      <c r="AP151" s="16">
        <f t="shared" si="43"/>
        <v>-2.9561527581329558E-3</v>
      </c>
      <c r="AQ151" s="16">
        <f t="shared" si="43"/>
        <v>-3.4494825776133584E-3</v>
      </c>
      <c r="AR151" s="16">
        <f t="shared" si="43"/>
        <v>-8.9992934439031627E-3</v>
      </c>
      <c r="AS151" s="16">
        <f t="shared" si="43"/>
        <v>0.99574517019319231</v>
      </c>
      <c r="AT151" s="16">
        <f t="shared" si="43"/>
        <v>0</v>
      </c>
    </row>
    <row r="152" spans="1:46" x14ac:dyDescent="0.3">
      <c r="B152" s="16">
        <f t="shared" ref="B152:AT152" si="44">B101-B50</f>
        <v>0</v>
      </c>
      <c r="C152" s="16">
        <f t="shared" si="44"/>
        <v>0</v>
      </c>
      <c r="D152" s="16">
        <f t="shared" si="44"/>
        <v>0</v>
      </c>
      <c r="E152" s="16">
        <f t="shared" si="44"/>
        <v>0</v>
      </c>
      <c r="F152" s="16">
        <f t="shared" si="44"/>
        <v>0</v>
      </c>
      <c r="G152" s="16">
        <f t="shared" si="44"/>
        <v>0</v>
      </c>
      <c r="H152" s="16">
        <f t="shared" si="44"/>
        <v>0</v>
      </c>
      <c r="I152" s="16">
        <f t="shared" si="44"/>
        <v>0</v>
      </c>
      <c r="J152" s="16">
        <f t="shared" si="44"/>
        <v>0</v>
      </c>
      <c r="K152" s="16">
        <f t="shared" si="44"/>
        <v>0</v>
      </c>
      <c r="L152" s="16">
        <f t="shared" si="44"/>
        <v>0</v>
      </c>
      <c r="M152" s="16">
        <f t="shared" si="44"/>
        <v>0</v>
      </c>
      <c r="N152" s="16">
        <f t="shared" si="44"/>
        <v>0</v>
      </c>
      <c r="O152" s="16">
        <f t="shared" si="44"/>
        <v>0</v>
      </c>
      <c r="P152" s="16">
        <f t="shared" si="44"/>
        <v>0</v>
      </c>
      <c r="Q152" s="16">
        <f t="shared" si="44"/>
        <v>0</v>
      </c>
      <c r="R152" s="16">
        <f t="shared" si="44"/>
        <v>0</v>
      </c>
      <c r="S152" s="16">
        <f t="shared" si="44"/>
        <v>0</v>
      </c>
      <c r="T152" s="16">
        <f t="shared" si="44"/>
        <v>0</v>
      </c>
      <c r="U152" s="16">
        <f t="shared" si="44"/>
        <v>0</v>
      </c>
      <c r="V152" s="16">
        <f t="shared" si="44"/>
        <v>0</v>
      </c>
      <c r="W152" s="16">
        <f t="shared" si="44"/>
        <v>0</v>
      </c>
      <c r="X152" s="16">
        <f t="shared" si="44"/>
        <v>0</v>
      </c>
      <c r="Y152" s="16">
        <f t="shared" si="44"/>
        <v>0</v>
      </c>
      <c r="Z152" s="16">
        <f t="shared" si="44"/>
        <v>0</v>
      </c>
      <c r="AA152" s="16">
        <f t="shared" si="44"/>
        <v>0</v>
      </c>
      <c r="AB152" s="16">
        <f t="shared" si="44"/>
        <v>0</v>
      </c>
      <c r="AC152" s="16">
        <f t="shared" si="44"/>
        <v>0</v>
      </c>
      <c r="AD152" s="16">
        <f t="shared" si="44"/>
        <v>0</v>
      </c>
      <c r="AE152" s="16">
        <f t="shared" si="44"/>
        <v>0</v>
      </c>
      <c r="AF152" s="16">
        <f t="shared" si="44"/>
        <v>0</v>
      </c>
      <c r="AG152" s="16">
        <f t="shared" si="44"/>
        <v>0</v>
      </c>
      <c r="AH152" s="16">
        <f t="shared" si="44"/>
        <v>0</v>
      </c>
      <c r="AI152" s="16">
        <f t="shared" si="44"/>
        <v>0</v>
      </c>
      <c r="AJ152" s="16">
        <f t="shared" si="44"/>
        <v>0</v>
      </c>
      <c r="AK152" s="16">
        <f t="shared" si="44"/>
        <v>0</v>
      </c>
      <c r="AL152" s="16">
        <f t="shared" si="44"/>
        <v>0</v>
      </c>
      <c r="AM152" s="16">
        <f t="shared" si="44"/>
        <v>0</v>
      </c>
      <c r="AN152" s="16">
        <f t="shared" si="44"/>
        <v>0</v>
      </c>
      <c r="AO152" s="16">
        <f t="shared" si="44"/>
        <v>0</v>
      </c>
      <c r="AP152" s="16">
        <f t="shared" si="44"/>
        <v>0</v>
      </c>
      <c r="AQ152" s="16">
        <f t="shared" si="44"/>
        <v>0</v>
      </c>
      <c r="AR152" s="16">
        <f t="shared" si="44"/>
        <v>0</v>
      </c>
      <c r="AS152" s="16">
        <f t="shared" si="44"/>
        <v>0</v>
      </c>
      <c r="AT152" s="16">
        <f t="shared" si="44"/>
        <v>1</v>
      </c>
    </row>
    <row r="156" spans="1:46" x14ac:dyDescent="0.3">
      <c r="B156" s="68" t="s">
        <v>121</v>
      </c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</row>
    <row r="157" spans="1:46" x14ac:dyDescent="0.3"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</row>
    <row r="159" spans="1:46" x14ac:dyDescent="0.3">
      <c r="A159" s="14"/>
      <c r="B159" s="14" t="s">
        <v>0</v>
      </c>
      <c r="C159" s="14" t="s">
        <v>1</v>
      </c>
      <c r="D159" s="14" t="s">
        <v>2</v>
      </c>
      <c r="E159" s="14" t="s">
        <v>3</v>
      </c>
      <c r="F159" s="14" t="s">
        <v>4</v>
      </c>
      <c r="G159" s="14" t="s">
        <v>5</v>
      </c>
      <c r="H159" s="14" t="s">
        <v>6</v>
      </c>
      <c r="I159" s="14" t="s">
        <v>7</v>
      </c>
      <c r="J159" s="14" t="s">
        <v>8</v>
      </c>
      <c r="K159" s="14" t="s">
        <v>9</v>
      </c>
      <c r="L159" s="14" t="s">
        <v>10</v>
      </c>
      <c r="M159" s="14" t="s">
        <v>11</v>
      </c>
      <c r="N159" s="14" t="s">
        <v>12</v>
      </c>
      <c r="O159" s="14" t="s">
        <v>13</v>
      </c>
      <c r="P159" s="14" t="s">
        <v>14</v>
      </c>
      <c r="Q159" s="14" t="s">
        <v>15</v>
      </c>
      <c r="R159" s="14" t="s">
        <v>16</v>
      </c>
      <c r="S159" s="14" t="s">
        <v>17</v>
      </c>
      <c r="T159" s="14" t="s">
        <v>18</v>
      </c>
      <c r="U159" s="14" t="s">
        <v>19</v>
      </c>
      <c r="V159" s="14" t="s">
        <v>20</v>
      </c>
      <c r="W159" s="14" t="s">
        <v>21</v>
      </c>
      <c r="X159" s="14" t="s">
        <v>22</v>
      </c>
      <c r="Y159" s="14" t="s">
        <v>23</v>
      </c>
      <c r="Z159" s="14" t="s">
        <v>24</v>
      </c>
      <c r="AA159" s="14" t="s">
        <v>25</v>
      </c>
      <c r="AB159" s="14" t="s">
        <v>26</v>
      </c>
      <c r="AC159" s="14" t="s">
        <v>27</v>
      </c>
      <c r="AD159" s="14" t="s">
        <v>28</v>
      </c>
      <c r="AE159" s="14" t="s">
        <v>29</v>
      </c>
      <c r="AF159" s="14" t="s">
        <v>30</v>
      </c>
      <c r="AG159" s="14" t="s">
        <v>31</v>
      </c>
      <c r="AH159" s="14" t="s">
        <v>32</v>
      </c>
      <c r="AI159" s="14" t="s">
        <v>33</v>
      </c>
      <c r="AJ159" s="14" t="s">
        <v>34</v>
      </c>
      <c r="AK159" s="14" t="s">
        <v>35</v>
      </c>
      <c r="AL159" s="14" t="s">
        <v>36</v>
      </c>
      <c r="AM159" s="14" t="s">
        <v>37</v>
      </c>
      <c r="AN159" s="14" t="s">
        <v>38</v>
      </c>
      <c r="AO159" s="14" t="s">
        <v>39</v>
      </c>
      <c r="AP159" s="14" t="s">
        <v>40</v>
      </c>
      <c r="AQ159" s="14" t="s">
        <v>41</v>
      </c>
      <c r="AR159" s="14" t="s">
        <v>42</v>
      </c>
      <c r="AS159" s="14" t="s">
        <v>43</v>
      </c>
      <c r="AT159" s="14" t="s">
        <v>44</v>
      </c>
    </row>
    <row r="160" spans="1:46" x14ac:dyDescent="0.3">
      <c r="A160" s="14" t="s">
        <v>54</v>
      </c>
      <c r="B160" s="17">
        <v>1.31785368662378</v>
      </c>
      <c r="C160" s="17">
        <v>0.14615769570721401</v>
      </c>
      <c r="D160" s="17">
        <v>6.7522058470987096E-3</v>
      </c>
      <c r="E160" s="17">
        <v>9.7664276790628297E-3</v>
      </c>
      <c r="F160" s="17">
        <v>9.2883538744335699E-3</v>
      </c>
      <c r="G160" s="17">
        <v>0.37134771484407098</v>
      </c>
      <c r="H160" s="17">
        <v>2.2086709529166301E-2</v>
      </c>
      <c r="I160" s="17">
        <v>0.129351484612518</v>
      </c>
      <c r="J160" s="17">
        <v>2.0854308054148601E-2</v>
      </c>
      <c r="K160" s="17">
        <v>1.30830588869945E-2</v>
      </c>
      <c r="L160" s="17">
        <v>2.0753811358561799E-2</v>
      </c>
      <c r="M160" s="17">
        <v>1.9262377384883001E-2</v>
      </c>
      <c r="N160" s="17">
        <v>2.5801517660847401E-2</v>
      </c>
      <c r="O160" s="17">
        <v>1.53034299115869E-2</v>
      </c>
      <c r="P160" s="17">
        <v>1.56213355758212E-2</v>
      </c>
      <c r="Q160" s="17">
        <v>1.29857838041536E-2</v>
      </c>
      <c r="R160" s="17">
        <v>1.6423940011448802E-2</v>
      </c>
      <c r="S160" s="17">
        <v>1.56143027997152E-2</v>
      </c>
      <c r="T160" s="17">
        <v>1.1613398982983299E-2</v>
      </c>
      <c r="U160" s="17">
        <v>1.4406516927078001E-2</v>
      </c>
      <c r="V160" s="17">
        <v>1.2221537301382099E-2</v>
      </c>
      <c r="W160" s="17">
        <v>2.09285474565068E-2</v>
      </c>
      <c r="X160" s="17">
        <v>2.19431010982904E-2</v>
      </c>
      <c r="Y160" s="17">
        <v>1.1909583146588401E-2</v>
      </c>
      <c r="Z160" s="17">
        <v>1.49040258084252E-2</v>
      </c>
      <c r="AA160" s="17">
        <v>2.7210892182606701E-2</v>
      </c>
      <c r="AB160" s="17">
        <v>9.7959634986079704E-3</v>
      </c>
      <c r="AC160" s="17">
        <v>1.7462771137090601E-2</v>
      </c>
      <c r="AD160" s="17">
        <v>1.51537121864137E-2</v>
      </c>
      <c r="AE160" s="17">
        <v>1.02649161877234E-2</v>
      </c>
      <c r="AF160" s="17">
        <v>4.2168608303688303E-3</v>
      </c>
      <c r="AG160" s="17">
        <v>0.111121898878611</v>
      </c>
      <c r="AH160" s="17">
        <v>9.5174435808615208E-3</v>
      </c>
      <c r="AI160" s="17">
        <v>5.8942393270720803E-3</v>
      </c>
      <c r="AJ160" s="17">
        <v>5.2718843332219901E-3</v>
      </c>
      <c r="AK160" s="17">
        <v>4.6153491348177996E-3</v>
      </c>
      <c r="AL160" s="17">
        <v>5.7522060664360296E-3</v>
      </c>
      <c r="AM160" s="17">
        <v>8.3311838183280796E-3</v>
      </c>
      <c r="AN160" s="17">
        <v>1.4715220522915301E-2</v>
      </c>
      <c r="AO160" s="17">
        <v>5.1743017479044303E-3</v>
      </c>
      <c r="AP160" s="17">
        <v>4.1393087160067699E-3</v>
      </c>
      <c r="AQ160" s="17">
        <v>1.73341684856348E-2</v>
      </c>
      <c r="AR160" s="17">
        <v>1.04340579906269E-2</v>
      </c>
      <c r="AS160" s="17">
        <v>1.25404532708722E-2</v>
      </c>
      <c r="AT160" s="17">
        <v>0</v>
      </c>
    </row>
    <row r="161" spans="1:46" x14ac:dyDescent="0.3">
      <c r="A161" s="14" t="s">
        <v>55</v>
      </c>
      <c r="B161" s="17">
        <v>2.33224977455121E-4</v>
      </c>
      <c r="C161" s="17">
        <v>1.1262395849948501</v>
      </c>
      <c r="D161" s="17">
        <v>1.24855395544886E-5</v>
      </c>
      <c r="E161" s="17">
        <v>1.40713439330833E-5</v>
      </c>
      <c r="F161" s="17">
        <v>1.6847591688415901E-5</v>
      </c>
      <c r="G161" s="17">
        <v>3.1343684761571302E-4</v>
      </c>
      <c r="H161" s="17">
        <v>1.80639227497643E-5</v>
      </c>
      <c r="I161" s="17">
        <v>3.6485223652167099E-5</v>
      </c>
      <c r="J161" s="17">
        <v>2.14131003008989E-5</v>
      </c>
      <c r="K161" s="17">
        <v>3.48463451680514E-5</v>
      </c>
      <c r="L161" s="17">
        <v>2.3424106991573598E-5</v>
      </c>
      <c r="M161" s="17">
        <v>2.0270938789165201E-5</v>
      </c>
      <c r="N161" s="17">
        <v>2.17048154369471E-5</v>
      </c>
      <c r="O161" s="17">
        <v>1.7493172004327898E-5</v>
      </c>
      <c r="P161" s="17">
        <v>2.0393160716308601E-5</v>
      </c>
      <c r="Q161" s="17">
        <v>1.7113486552814701E-5</v>
      </c>
      <c r="R161" s="17">
        <v>3.71684313327231E-5</v>
      </c>
      <c r="S161" s="17">
        <v>2.1907646460345401E-5</v>
      </c>
      <c r="T161" s="17">
        <v>1.5750668340096499E-5</v>
      </c>
      <c r="U161" s="17">
        <v>2.8442173433290502E-5</v>
      </c>
      <c r="V161" s="17">
        <v>1.8152015301713999E-5</v>
      </c>
      <c r="W161" s="17">
        <v>1.8757262359076799E-5</v>
      </c>
      <c r="X161" s="17">
        <v>1.62614545503843E-5</v>
      </c>
      <c r="Y161" s="17">
        <v>1.28840871047775E-5</v>
      </c>
      <c r="Z161" s="17">
        <v>2.5191016036959798E-5</v>
      </c>
      <c r="AA161" s="17">
        <v>3.6584286128173503E-5</v>
      </c>
      <c r="AB161" s="17">
        <v>1.65991276008344E-5</v>
      </c>
      <c r="AC161" s="17">
        <v>2.5656618203212101E-5</v>
      </c>
      <c r="AD161" s="17">
        <v>3.1140863444343703E-5</v>
      </c>
      <c r="AE161" s="17">
        <v>1.4582377953795101E-5</v>
      </c>
      <c r="AF161" s="17">
        <v>9.1614958085443003E-6</v>
      </c>
      <c r="AG161" s="17">
        <v>2.2759634849783099E-3</v>
      </c>
      <c r="AH161" s="17">
        <v>1.35058728190832E-5</v>
      </c>
      <c r="AI161" s="17">
        <v>1.12941584846238E-5</v>
      </c>
      <c r="AJ161" s="17">
        <v>1.6493100563399699E-5</v>
      </c>
      <c r="AK161" s="17">
        <v>1.34923014574762E-5</v>
      </c>
      <c r="AL161" s="17">
        <v>8.8912665497599694E-6</v>
      </c>
      <c r="AM161" s="17">
        <v>1.97820163601837E-5</v>
      </c>
      <c r="AN161" s="17">
        <v>1.03526081305047E-4</v>
      </c>
      <c r="AO161" s="17">
        <v>1.6602087384096901E-5</v>
      </c>
      <c r="AP161" s="17">
        <v>1.19710826669916E-5</v>
      </c>
      <c r="AQ161" s="17">
        <v>5.1018715134429998E-5</v>
      </c>
      <c r="AR161" s="17">
        <v>1.5760882492630001E-4</v>
      </c>
      <c r="AS161" s="17">
        <v>4.3818827396071097E-5</v>
      </c>
      <c r="AT161" s="17">
        <v>0</v>
      </c>
    </row>
    <row r="162" spans="1:46" x14ac:dyDescent="0.3">
      <c r="A162" s="14" t="s">
        <v>56</v>
      </c>
      <c r="B162" s="17">
        <v>3.5763863951697297E-2</v>
      </c>
      <c r="C162" s="17">
        <v>3.0363066262865099E-2</v>
      </c>
      <c r="D162" s="17">
        <v>1.04363173958095</v>
      </c>
      <c r="E162" s="17">
        <v>5.66450376970771E-2</v>
      </c>
      <c r="F162" s="17">
        <v>3.32771064015389E-2</v>
      </c>
      <c r="G162" s="17">
        <v>3.3802888256179199E-2</v>
      </c>
      <c r="H162" s="17">
        <v>2.1226473415451402E-2</v>
      </c>
      <c r="I162" s="17">
        <v>3.4366139231326302E-2</v>
      </c>
      <c r="J162" s="17">
        <v>3.2786995082458997E-2</v>
      </c>
      <c r="K162" s="17">
        <v>0.33702743553516601</v>
      </c>
      <c r="L162" s="17">
        <v>0.11948191907877399</v>
      </c>
      <c r="M162" s="17">
        <v>2.9116767103029999E-2</v>
      </c>
      <c r="N162" s="17">
        <v>4.4943713592929001E-2</v>
      </c>
      <c r="O162" s="17">
        <v>6.3290356187826996E-2</v>
      </c>
      <c r="P162" s="17">
        <v>0.11725418302627399</v>
      </c>
      <c r="Q162" s="17">
        <v>3.7230255460898698E-2</v>
      </c>
      <c r="R162" s="17">
        <v>2.59764371400838E-2</v>
      </c>
      <c r="S162" s="17">
        <v>4.2035120999879098E-2</v>
      </c>
      <c r="T162" s="17">
        <v>2.5346452943915999E-2</v>
      </c>
      <c r="U162" s="17">
        <v>2.63232938207901E-2</v>
      </c>
      <c r="V162" s="17">
        <v>3.3982290024448997E-2</v>
      </c>
      <c r="W162" s="17">
        <v>2.3058542781908799E-2</v>
      </c>
      <c r="X162" s="17">
        <v>0.13084007277040299</v>
      </c>
      <c r="Y162" s="17">
        <v>3.0202586627033099E-2</v>
      </c>
      <c r="Z162" s="17">
        <v>3.2537708608321003E-2</v>
      </c>
      <c r="AA162" s="17">
        <v>2.2919112254301498E-2</v>
      </c>
      <c r="AB162" s="17">
        <v>4.9448195895245198E-2</v>
      </c>
      <c r="AC162" s="17">
        <v>7.0924474515360506E-2</v>
      </c>
      <c r="AD162" s="17">
        <v>5.4444053781432897E-2</v>
      </c>
      <c r="AE162" s="17">
        <v>3.5741284371219498E-2</v>
      </c>
      <c r="AF162" s="17">
        <v>1.1752664901987999E-2</v>
      </c>
      <c r="AG162" s="17">
        <v>2.6150895702747701E-2</v>
      </c>
      <c r="AH162" s="17">
        <v>1.0998787770842801E-2</v>
      </c>
      <c r="AI162" s="17">
        <v>9.9225373389356299E-3</v>
      </c>
      <c r="AJ162" s="17">
        <v>8.3728587068003305E-3</v>
      </c>
      <c r="AK162" s="17">
        <v>7.9658530955593297E-3</v>
      </c>
      <c r="AL162" s="17">
        <v>1.18707053750126E-2</v>
      </c>
      <c r="AM162" s="17">
        <v>1.47884174313939E-2</v>
      </c>
      <c r="AN162" s="17">
        <v>1.6491284982630201E-2</v>
      </c>
      <c r="AO162" s="17">
        <v>1.2865716858307201E-2</v>
      </c>
      <c r="AP162" s="17">
        <v>1.6538427588454599E-2</v>
      </c>
      <c r="AQ162" s="17">
        <v>2.4148950599033599E-2</v>
      </c>
      <c r="AR162" s="17">
        <v>2.9837902974750901E-2</v>
      </c>
      <c r="AS162" s="17">
        <v>1.5721065070219101E-2</v>
      </c>
      <c r="AT162" s="17">
        <v>0</v>
      </c>
    </row>
    <row r="163" spans="1:46" x14ac:dyDescent="0.3">
      <c r="A163" s="14" t="s">
        <v>57</v>
      </c>
      <c r="B163" s="17">
        <v>5.55446926961492E-3</v>
      </c>
      <c r="C163" s="17">
        <v>3.2285338200122001E-3</v>
      </c>
      <c r="D163" s="17">
        <v>5.0792203396882701E-2</v>
      </c>
      <c r="E163" s="17">
        <v>1.04271596011612</v>
      </c>
      <c r="F163" s="17">
        <v>4.0363399662508202E-2</v>
      </c>
      <c r="G163" s="17">
        <v>9.1080515654103703E-3</v>
      </c>
      <c r="H163" s="17">
        <v>3.3460898512692201E-3</v>
      </c>
      <c r="I163" s="17">
        <v>6.0879578153174097E-3</v>
      </c>
      <c r="J163" s="17">
        <v>5.5502040088355404E-3</v>
      </c>
      <c r="K163" s="17">
        <v>1.8055362082668301E-2</v>
      </c>
      <c r="L163" s="17">
        <v>1.13838248670132E-2</v>
      </c>
      <c r="M163" s="17">
        <v>3.6864527786488101E-3</v>
      </c>
      <c r="N163" s="17">
        <v>6.5920257631808298E-3</v>
      </c>
      <c r="O163" s="17">
        <v>4.6196795801539903E-2</v>
      </c>
      <c r="P163" s="17">
        <v>2.08759798418756E-2</v>
      </c>
      <c r="Q163" s="17">
        <v>1.1483348038848601E-2</v>
      </c>
      <c r="R163" s="17">
        <v>4.5718011157665902E-3</v>
      </c>
      <c r="S163" s="17">
        <v>8.2671089327899794E-3</v>
      </c>
      <c r="T163" s="17">
        <v>5.6452565511037403E-3</v>
      </c>
      <c r="U163" s="17">
        <v>5.6255727566289397E-3</v>
      </c>
      <c r="V163" s="17">
        <v>5.9097319457185101E-3</v>
      </c>
      <c r="W163" s="17">
        <v>4.6174763361746703E-3</v>
      </c>
      <c r="X163" s="17">
        <v>8.0082632344346608E-3</v>
      </c>
      <c r="Y163" s="17">
        <v>4.97459658998622E-3</v>
      </c>
      <c r="Z163" s="17">
        <v>1.66347070503521E-2</v>
      </c>
      <c r="AA163" s="17">
        <v>3.7224299424740599E-3</v>
      </c>
      <c r="AB163" s="17">
        <v>3.8277007468357602E-3</v>
      </c>
      <c r="AC163" s="17">
        <v>6.2015826563168799E-3</v>
      </c>
      <c r="AD163" s="17">
        <v>4.2464466341666498E-3</v>
      </c>
      <c r="AE163" s="17">
        <v>3.6705839618440001E-3</v>
      </c>
      <c r="AF163" s="17">
        <v>1.07463058249301E-3</v>
      </c>
      <c r="AG163" s="17">
        <v>3.8306406398722699E-3</v>
      </c>
      <c r="AH163" s="17">
        <v>1.69282265386321E-3</v>
      </c>
      <c r="AI163" s="17">
        <v>1.37167876263388E-3</v>
      </c>
      <c r="AJ163" s="17">
        <v>1.5361515967983201E-3</v>
      </c>
      <c r="AK163" s="17">
        <v>1.0349703827009201E-3</v>
      </c>
      <c r="AL163" s="17">
        <v>3.6101833332558399E-3</v>
      </c>
      <c r="AM163" s="17">
        <v>2.6422132826964899E-3</v>
      </c>
      <c r="AN163" s="17">
        <v>2.3953851842210602E-3</v>
      </c>
      <c r="AO163" s="17">
        <v>1.4353087178437E-3</v>
      </c>
      <c r="AP163" s="17">
        <v>1.5959596842276499E-3</v>
      </c>
      <c r="AQ163" s="17">
        <v>3.1068958798681902E-3</v>
      </c>
      <c r="AR163" s="17">
        <v>3.4439284492619598E-3</v>
      </c>
      <c r="AS163" s="17">
        <v>3.1670487973126599E-3</v>
      </c>
      <c r="AT163" s="17">
        <v>0</v>
      </c>
    </row>
    <row r="164" spans="1:46" x14ac:dyDescent="0.3">
      <c r="A164" s="14" t="s">
        <v>58</v>
      </c>
      <c r="B164" s="17">
        <v>5.9493689121316497E-3</v>
      </c>
      <c r="C164" s="17">
        <v>5.0625555389441097E-3</v>
      </c>
      <c r="D164" s="17">
        <v>0.141980428566612</v>
      </c>
      <c r="E164" s="17">
        <v>1.0105802821314E-2</v>
      </c>
      <c r="F164" s="17">
        <v>1.0559577509003</v>
      </c>
      <c r="G164" s="17">
        <v>5.5607005900755397E-3</v>
      </c>
      <c r="H164" s="17">
        <v>3.5178613118203301E-3</v>
      </c>
      <c r="I164" s="17">
        <v>6.0363226821606398E-3</v>
      </c>
      <c r="J164" s="17">
        <v>5.2730238242108896E-3</v>
      </c>
      <c r="K164" s="17">
        <v>6.0264093484807602E-2</v>
      </c>
      <c r="L164" s="17">
        <v>1.9672006456226899E-2</v>
      </c>
      <c r="M164" s="17">
        <v>4.7766834206618598E-3</v>
      </c>
      <c r="N164" s="17">
        <v>7.7869274167698304E-3</v>
      </c>
      <c r="O164" s="17">
        <v>1.0147545420844501E-2</v>
      </c>
      <c r="P164" s="17">
        <v>1.99040904872252E-2</v>
      </c>
      <c r="Q164" s="17">
        <v>6.2835862699723499E-3</v>
      </c>
      <c r="R164" s="17">
        <v>4.4252653535977703E-3</v>
      </c>
      <c r="S164" s="17">
        <v>7.1346434123081897E-3</v>
      </c>
      <c r="T164" s="17">
        <v>4.3697956218090904E-3</v>
      </c>
      <c r="U164" s="17">
        <v>4.5987885213581003E-3</v>
      </c>
      <c r="V164" s="17">
        <v>5.7980198600170703E-3</v>
      </c>
      <c r="W164" s="17">
        <v>4.2762888036173502E-3</v>
      </c>
      <c r="X164" s="17">
        <v>1.97679450290866E-2</v>
      </c>
      <c r="Y164" s="17">
        <v>5.0218587392613498E-3</v>
      </c>
      <c r="Z164" s="17">
        <v>6.3280014227253302E-3</v>
      </c>
      <c r="AA164" s="17">
        <v>3.8308075281220199E-3</v>
      </c>
      <c r="AB164" s="17">
        <v>8.5216823246903693E-3</v>
      </c>
      <c r="AC164" s="17">
        <v>1.23951266856209E-2</v>
      </c>
      <c r="AD164" s="17">
        <v>9.4300293586302795E-3</v>
      </c>
      <c r="AE164" s="17">
        <v>5.7774887440359603E-3</v>
      </c>
      <c r="AF164" s="17">
        <v>1.9031046578250801E-3</v>
      </c>
      <c r="AG164" s="17">
        <v>4.1784774408780301E-3</v>
      </c>
      <c r="AH164" s="17">
        <v>1.8248293251263701E-3</v>
      </c>
      <c r="AI164" s="17">
        <v>1.63478840391827E-3</v>
      </c>
      <c r="AJ164" s="17">
        <v>1.4158348065314099E-3</v>
      </c>
      <c r="AK164" s="17">
        <v>1.3411637945483299E-3</v>
      </c>
      <c r="AL164" s="17">
        <v>1.96203973133722E-3</v>
      </c>
      <c r="AM164" s="17">
        <v>2.5169667946989202E-3</v>
      </c>
      <c r="AN164" s="17">
        <v>2.7861085523736601E-3</v>
      </c>
      <c r="AO164" s="17">
        <v>2.0553450425696701E-3</v>
      </c>
      <c r="AP164" s="17">
        <v>2.5502079138756198E-3</v>
      </c>
      <c r="AQ164" s="17">
        <v>3.9135320847461796E-3</v>
      </c>
      <c r="AR164" s="17">
        <v>4.7331725428083303E-3</v>
      </c>
      <c r="AS164" s="17">
        <v>2.58306512059447E-3</v>
      </c>
      <c r="AT164" s="17">
        <v>0</v>
      </c>
    </row>
    <row r="165" spans="1:46" x14ac:dyDescent="0.3">
      <c r="A165" s="14" t="s">
        <v>59</v>
      </c>
      <c r="B165" s="17">
        <v>0.124947926724831</v>
      </c>
      <c r="C165" s="17">
        <v>8.1337775721974898E-2</v>
      </c>
      <c r="D165" s="17">
        <v>5.0480945538742203E-3</v>
      </c>
      <c r="E165" s="17">
        <v>6.1944555123115098E-3</v>
      </c>
      <c r="F165" s="17">
        <v>6.9138144328547597E-3</v>
      </c>
      <c r="G165" s="17">
        <v>1.1600271901950301</v>
      </c>
      <c r="H165" s="17">
        <v>1.05905274783171E-2</v>
      </c>
      <c r="I165" s="17">
        <v>1.99221616663821E-2</v>
      </c>
      <c r="J165" s="17">
        <v>1.74817096614014E-2</v>
      </c>
      <c r="K165" s="17">
        <v>1.19311522906575E-2</v>
      </c>
      <c r="L165" s="17">
        <v>1.66480615318602E-2</v>
      </c>
      <c r="M165" s="17">
        <v>1.35916212444554E-2</v>
      </c>
      <c r="N165" s="17">
        <v>1.3944356719428799E-2</v>
      </c>
      <c r="O165" s="17">
        <v>8.9056158130816007E-3</v>
      </c>
      <c r="P165" s="17">
        <v>9.7066871681879604E-3</v>
      </c>
      <c r="Q165" s="17">
        <v>8.0357201403909607E-3</v>
      </c>
      <c r="R165" s="17">
        <v>1.1031329479866601E-2</v>
      </c>
      <c r="S165" s="17">
        <v>1.03280171649215E-2</v>
      </c>
      <c r="T165" s="17">
        <v>6.9647114941692101E-3</v>
      </c>
      <c r="U165" s="17">
        <v>8.7860828195976699E-3</v>
      </c>
      <c r="V165" s="17">
        <v>7.7411842260301502E-3</v>
      </c>
      <c r="W165" s="17">
        <v>9.0755297854772706E-3</v>
      </c>
      <c r="X165" s="17">
        <v>8.9012733491978992E-3</v>
      </c>
      <c r="Y165" s="17">
        <v>7.7931222025736102E-3</v>
      </c>
      <c r="Z165" s="17">
        <v>7.6544155919973898E-3</v>
      </c>
      <c r="AA165" s="17">
        <v>1.58203069923573E-2</v>
      </c>
      <c r="AB165" s="17">
        <v>6.0353484359912E-3</v>
      </c>
      <c r="AC165" s="17">
        <v>1.7873067544848398E-2</v>
      </c>
      <c r="AD165" s="17">
        <v>1.3133944606453901E-2</v>
      </c>
      <c r="AE165" s="17">
        <v>4.8579905918909897E-3</v>
      </c>
      <c r="AF165" s="17">
        <v>3.2833655250305701E-3</v>
      </c>
      <c r="AG165" s="17">
        <v>0.260903964397803</v>
      </c>
      <c r="AH165" s="17">
        <v>5.4138940048067E-3</v>
      </c>
      <c r="AI165" s="17">
        <v>3.6742736825358499E-3</v>
      </c>
      <c r="AJ165" s="17">
        <v>4.3863015232533699E-3</v>
      </c>
      <c r="AK165" s="17">
        <v>3.8482419749589999E-3</v>
      </c>
      <c r="AL165" s="17">
        <v>3.7175605495737801E-3</v>
      </c>
      <c r="AM165" s="17">
        <v>7.3050471902547601E-3</v>
      </c>
      <c r="AN165" s="17">
        <v>1.9513158059417401E-2</v>
      </c>
      <c r="AO165" s="17">
        <v>5.4687834733928003E-3</v>
      </c>
      <c r="AP165" s="17">
        <v>3.4340111463525098E-3</v>
      </c>
      <c r="AQ165" s="17">
        <v>2.60895215929168E-2</v>
      </c>
      <c r="AR165" s="17">
        <v>1.04541731920929E-2</v>
      </c>
      <c r="AS165" s="17">
        <v>1.17254974788586E-2</v>
      </c>
      <c r="AT165" s="17">
        <v>0</v>
      </c>
    </row>
    <row r="166" spans="1:46" x14ac:dyDescent="0.3">
      <c r="A166" s="14" t="s">
        <v>60</v>
      </c>
      <c r="B166" s="17">
        <v>2.3213121774129301E-3</v>
      </c>
      <c r="C166" s="17">
        <v>1.49317284393873E-3</v>
      </c>
      <c r="D166" s="17">
        <v>2.31350113404647E-3</v>
      </c>
      <c r="E166" s="17">
        <v>2.4364531568295501E-3</v>
      </c>
      <c r="F166" s="17">
        <v>2.18878093165092E-3</v>
      </c>
      <c r="G166" s="17">
        <v>3.3479205699711899E-3</v>
      </c>
      <c r="H166" s="17">
        <v>1.25127015537709</v>
      </c>
      <c r="I166" s="17">
        <v>4.1791898466374804E-3</v>
      </c>
      <c r="J166" s="17">
        <v>7.70494442025676E-3</v>
      </c>
      <c r="K166" s="17">
        <v>2.1967668216228901E-3</v>
      </c>
      <c r="L166" s="17">
        <v>3.74079732629972E-3</v>
      </c>
      <c r="M166" s="17">
        <v>2.9766806457549901E-3</v>
      </c>
      <c r="N166" s="17">
        <v>1.4796439963517E-2</v>
      </c>
      <c r="O166" s="17">
        <v>3.9259205709587502E-3</v>
      </c>
      <c r="P166" s="17">
        <v>3.74360051600643E-3</v>
      </c>
      <c r="Q166" s="17">
        <v>3.4141018855025E-3</v>
      </c>
      <c r="R166" s="17">
        <v>6.1622276685737599E-3</v>
      </c>
      <c r="S166" s="17">
        <v>5.9207726730601904E-3</v>
      </c>
      <c r="T166" s="17">
        <v>4.5974620112547698E-3</v>
      </c>
      <c r="U166" s="17">
        <v>1.0806192511484999E-2</v>
      </c>
      <c r="V166" s="17">
        <v>4.2838426380960399E-3</v>
      </c>
      <c r="W166" s="17">
        <v>2.3866252770518299E-2</v>
      </c>
      <c r="X166" s="17">
        <v>2.2799171678292698E-3</v>
      </c>
      <c r="Y166" s="17">
        <v>3.1756871342514602E-3</v>
      </c>
      <c r="Z166" s="17">
        <v>3.67914854537571E-3</v>
      </c>
      <c r="AA166" s="17">
        <v>3.1081602308792901E-3</v>
      </c>
      <c r="AB166" s="17">
        <v>2.3412358532099E-3</v>
      </c>
      <c r="AC166" s="17">
        <v>2.9434017129352798E-3</v>
      </c>
      <c r="AD166" s="17">
        <v>2.4593579452921299E-3</v>
      </c>
      <c r="AE166" s="17">
        <v>2.1248175115146902E-3</v>
      </c>
      <c r="AF166" s="17">
        <v>2.1455477261168301E-3</v>
      </c>
      <c r="AG166" s="17">
        <v>2.9088707788174199E-3</v>
      </c>
      <c r="AH166" s="17">
        <v>1.8900728172327201E-3</v>
      </c>
      <c r="AI166" s="17">
        <v>1.41781990669267E-3</v>
      </c>
      <c r="AJ166" s="17">
        <v>1.36103830807687E-3</v>
      </c>
      <c r="AK166" s="17">
        <v>1.0168877443614899E-3</v>
      </c>
      <c r="AL166" s="17">
        <v>1.0922723357572499E-3</v>
      </c>
      <c r="AM166" s="17">
        <v>1.5584749344051301E-3</v>
      </c>
      <c r="AN166" s="17">
        <v>2.3926031828435299E-3</v>
      </c>
      <c r="AO166" s="17">
        <v>1.4270535166465701E-3</v>
      </c>
      <c r="AP166" s="17">
        <v>9.0890811238286998E-4</v>
      </c>
      <c r="AQ166" s="17">
        <v>4.1017107409861203E-3</v>
      </c>
      <c r="AR166" s="17">
        <v>5.5531973431552596E-3</v>
      </c>
      <c r="AS166" s="17">
        <v>9.2094983695093207E-3</v>
      </c>
      <c r="AT166" s="17">
        <v>0</v>
      </c>
    </row>
    <row r="167" spans="1:46" x14ac:dyDescent="0.3">
      <c r="A167" s="14" t="s">
        <v>61</v>
      </c>
      <c r="B167" s="17">
        <v>6.1721799343399403E-3</v>
      </c>
      <c r="C167" s="17">
        <v>2.9197026018814199E-3</v>
      </c>
      <c r="D167" s="17">
        <v>2.0824511612707198E-3</v>
      </c>
      <c r="E167" s="17">
        <v>3.9663111220947104E-3</v>
      </c>
      <c r="F167" s="17">
        <v>3.9428715260298001E-3</v>
      </c>
      <c r="G167" s="17">
        <v>6.59819021100149E-3</v>
      </c>
      <c r="H167" s="17">
        <v>7.9115071422589008E-3</v>
      </c>
      <c r="I167" s="17">
        <v>1.24285143658867</v>
      </c>
      <c r="J167" s="17">
        <v>7.6734668580409502E-3</v>
      </c>
      <c r="K167" s="17">
        <v>3.4221448450830702E-3</v>
      </c>
      <c r="L167" s="17">
        <v>8.8571640636345601E-3</v>
      </c>
      <c r="M167" s="17">
        <v>3.5944129274663099E-3</v>
      </c>
      <c r="N167" s="17">
        <v>9.5961430344005203E-3</v>
      </c>
      <c r="O167" s="17">
        <v>1.45878654888222E-2</v>
      </c>
      <c r="P167" s="17">
        <v>8.2935662442880104E-3</v>
      </c>
      <c r="Q167" s="17">
        <v>1.12925535921E-2</v>
      </c>
      <c r="R167" s="17">
        <v>7.3279980261841404E-3</v>
      </c>
      <c r="S167" s="17">
        <v>1.0280596509546E-2</v>
      </c>
      <c r="T167" s="17">
        <v>7.51334520415004E-3</v>
      </c>
      <c r="U167" s="17">
        <v>7.9524169411681004E-3</v>
      </c>
      <c r="V167" s="17">
        <v>9.2781736871548302E-3</v>
      </c>
      <c r="W167" s="17">
        <v>4.9582384934096897E-2</v>
      </c>
      <c r="X167" s="17">
        <v>6.0109420297587701E-3</v>
      </c>
      <c r="Y167" s="17">
        <v>4.04535102343331E-3</v>
      </c>
      <c r="Z167" s="17">
        <v>3.0264279197788398E-2</v>
      </c>
      <c r="AA167" s="17">
        <v>5.7239315750955803E-3</v>
      </c>
      <c r="AB167" s="17">
        <v>4.4467643519086096E-3</v>
      </c>
      <c r="AC167" s="17">
        <v>6.5256080115369004E-3</v>
      </c>
      <c r="AD167" s="17">
        <v>4.3875283905333599E-3</v>
      </c>
      <c r="AE167" s="17">
        <v>4.2708699651636296E-3</v>
      </c>
      <c r="AF167" s="17">
        <v>1.39435461159247E-3</v>
      </c>
      <c r="AG167" s="17">
        <v>3.9491936413943302E-3</v>
      </c>
      <c r="AH167" s="17">
        <v>2.3494532826739702E-3</v>
      </c>
      <c r="AI167" s="17">
        <v>2.4534099240881E-3</v>
      </c>
      <c r="AJ167" s="17">
        <v>1.71794525460912E-3</v>
      </c>
      <c r="AK167" s="17">
        <v>1.4830958103328601E-3</v>
      </c>
      <c r="AL167" s="17">
        <v>7.3359404310612396E-3</v>
      </c>
      <c r="AM167" s="17">
        <v>3.7166599929480799E-3</v>
      </c>
      <c r="AN167" s="17">
        <v>3.6448334437791099E-3</v>
      </c>
      <c r="AO167" s="17">
        <v>1.7707152324035599E-3</v>
      </c>
      <c r="AP167" s="17">
        <v>1.37097835501979E-3</v>
      </c>
      <c r="AQ167" s="17">
        <v>3.50178880336207E-3</v>
      </c>
      <c r="AR167" s="17">
        <v>3.1777179951627201E-3</v>
      </c>
      <c r="AS167" s="17">
        <v>3.68883817283518E-3</v>
      </c>
      <c r="AT167" s="17">
        <v>0</v>
      </c>
    </row>
    <row r="168" spans="1:46" x14ac:dyDescent="0.3">
      <c r="A168" s="14" t="s">
        <v>62</v>
      </c>
      <c r="B168" s="17">
        <v>1.8050645264907999E-2</v>
      </c>
      <c r="C168" s="17">
        <v>1.5135559048252799E-2</v>
      </c>
      <c r="D168" s="17">
        <v>6.3290734878369203E-3</v>
      </c>
      <c r="E168" s="17">
        <v>1.12434023004769E-2</v>
      </c>
      <c r="F168" s="17">
        <v>1.0682415033315899E-2</v>
      </c>
      <c r="G168" s="17">
        <v>4.8197656870839198E-2</v>
      </c>
      <c r="H168" s="17">
        <v>2.3644060710737599E-2</v>
      </c>
      <c r="I168" s="17">
        <v>5.2439481350891597E-2</v>
      </c>
      <c r="J168" s="17">
        <v>1.4833657076139399</v>
      </c>
      <c r="K168" s="17">
        <v>1.00547153783625E-2</v>
      </c>
      <c r="L168" s="17">
        <v>3.2135296716659198E-2</v>
      </c>
      <c r="M168" s="17">
        <v>2.4217096904438198E-2</v>
      </c>
      <c r="N168" s="17">
        <v>3.5692312692078801E-2</v>
      </c>
      <c r="O168" s="17">
        <v>2.27318971972158E-2</v>
      </c>
      <c r="P168" s="17">
        <v>1.5212353591714699E-2</v>
      </c>
      <c r="Q168" s="17">
        <v>1.6682117675264101E-2</v>
      </c>
      <c r="R168" s="17">
        <v>2.8352833693006899E-2</v>
      </c>
      <c r="S168" s="17">
        <v>3.2608747398868002E-2</v>
      </c>
      <c r="T168" s="17">
        <v>1.46614488288952E-2</v>
      </c>
      <c r="U168" s="17">
        <v>1.87992640505458E-2</v>
      </c>
      <c r="V168" s="17">
        <v>1.5552391970985501E-2</v>
      </c>
      <c r="W168" s="17">
        <v>2.63419191758704E-2</v>
      </c>
      <c r="X168" s="17">
        <v>1.09814086476331E-2</v>
      </c>
      <c r="Y168" s="17">
        <v>9.9198310630066004E-3</v>
      </c>
      <c r="Z168" s="17">
        <v>1.44559889911992E-2</v>
      </c>
      <c r="AA168" s="17">
        <v>3.1708124164872599E-2</v>
      </c>
      <c r="AB168" s="17">
        <v>1.08017201944064E-2</v>
      </c>
      <c r="AC168" s="17">
        <v>1.4866241693592601E-2</v>
      </c>
      <c r="AD168" s="17">
        <v>1.30856522193828E-2</v>
      </c>
      <c r="AE168" s="17">
        <v>1.1097064762016801E-2</v>
      </c>
      <c r="AF168" s="17">
        <v>1.5041672710720599E-2</v>
      </c>
      <c r="AG168" s="17">
        <v>2.1366437644637502E-2</v>
      </c>
      <c r="AH168" s="17">
        <v>0.153230746237771</v>
      </c>
      <c r="AI168" s="17">
        <v>1.1678768018224E-2</v>
      </c>
      <c r="AJ168" s="17">
        <v>1.18616395100056E-2</v>
      </c>
      <c r="AK168" s="17">
        <v>2.0132038285624401E-2</v>
      </c>
      <c r="AL168" s="17">
        <v>1.22308442591354E-2</v>
      </c>
      <c r="AM168" s="17">
        <v>1.6562103151816599E-2</v>
      </c>
      <c r="AN168" s="17">
        <v>1.8495346026856901E-2</v>
      </c>
      <c r="AO168" s="17">
        <v>1.2396870225198101E-2</v>
      </c>
      <c r="AP168" s="17">
        <v>1.03975272828329E-2</v>
      </c>
      <c r="AQ168" s="17">
        <v>1.10464682544079E-2</v>
      </c>
      <c r="AR168" s="17">
        <v>2.02750716555921E-2</v>
      </c>
      <c r="AS168" s="17">
        <v>1.6733159497294599E-2</v>
      </c>
      <c r="AT168" s="17">
        <v>0</v>
      </c>
    </row>
    <row r="169" spans="1:46" x14ac:dyDescent="0.3">
      <c r="A169" s="14" t="s">
        <v>63</v>
      </c>
      <c r="B169" s="17">
        <v>6.5841025787169397E-2</v>
      </c>
      <c r="C169" s="17">
        <v>6.0023627097707401E-2</v>
      </c>
      <c r="D169" s="17">
        <v>4.9881392059124202E-2</v>
      </c>
      <c r="E169" s="17">
        <v>6.6735956942080094E-2</v>
      </c>
      <c r="F169" s="17">
        <v>6.3901867350157293E-2</v>
      </c>
      <c r="G169" s="17">
        <v>5.23222458290626E-2</v>
      </c>
      <c r="H169" s="17">
        <v>3.4515801924638802E-2</v>
      </c>
      <c r="I169" s="17">
        <v>5.1445717178524003E-2</v>
      </c>
      <c r="J169" s="17">
        <v>3.9789992756123202E-2</v>
      </c>
      <c r="K169" s="17">
        <v>1.1322261526653801</v>
      </c>
      <c r="L169" s="17">
        <v>0.218240988870255</v>
      </c>
      <c r="M169" s="17">
        <v>4.3437061363155498E-2</v>
      </c>
      <c r="N169" s="17">
        <v>7.9061203950275702E-2</v>
      </c>
      <c r="O169" s="17">
        <v>7.1531135851769803E-2</v>
      </c>
      <c r="P169" s="17">
        <v>0.11753213455974</v>
      </c>
      <c r="Q169" s="17">
        <v>4.6080601009687E-2</v>
      </c>
      <c r="R169" s="17">
        <v>4.12693038813386E-2</v>
      </c>
      <c r="S169" s="17">
        <v>5.8294838060058897E-2</v>
      </c>
      <c r="T169" s="17">
        <v>3.4012184054006002E-2</v>
      </c>
      <c r="U169" s="17">
        <v>3.7536515087300701E-2</v>
      </c>
      <c r="V169" s="17">
        <v>3.8502508991704001E-2</v>
      </c>
      <c r="W169" s="17">
        <v>3.5286495717822899E-2</v>
      </c>
      <c r="X169" s="17">
        <v>5.0867511964472499E-2</v>
      </c>
      <c r="Y169" s="17">
        <v>4.1272497272130997E-2</v>
      </c>
      <c r="Z169" s="17">
        <v>5.2119680668080197E-2</v>
      </c>
      <c r="AA169" s="17">
        <v>3.7405706780066501E-2</v>
      </c>
      <c r="AB169" s="17">
        <v>0.123829855144358</v>
      </c>
      <c r="AC169" s="17">
        <v>0.19880708371986</v>
      </c>
      <c r="AD169" s="17">
        <v>0.14321403718715001</v>
      </c>
      <c r="AE169" s="17">
        <v>4.5016413077142603E-2</v>
      </c>
      <c r="AF169" s="17">
        <v>1.8871539022557698E-2</v>
      </c>
      <c r="AG169" s="17">
        <v>3.0010715790507601E-2</v>
      </c>
      <c r="AH169" s="17">
        <v>1.46102750402533E-2</v>
      </c>
      <c r="AI169" s="17">
        <v>1.2120146611387E-2</v>
      </c>
      <c r="AJ169" s="17">
        <v>1.2158735987214399E-2</v>
      </c>
      <c r="AK169" s="17">
        <v>1.24591134515935E-2</v>
      </c>
      <c r="AL169" s="17">
        <v>1.4570149643170801E-2</v>
      </c>
      <c r="AM169" s="17">
        <v>1.9180789918450299E-2</v>
      </c>
      <c r="AN169" s="17">
        <v>2.54930697673229E-2</v>
      </c>
      <c r="AO169" s="17">
        <v>1.34318579462793E-2</v>
      </c>
      <c r="AP169" s="17">
        <v>1.2235296859304299E-2</v>
      </c>
      <c r="AQ169" s="17">
        <v>2.5743076495088099E-2</v>
      </c>
      <c r="AR169" s="17">
        <v>2.6675377817641299E-2</v>
      </c>
      <c r="AS169" s="17">
        <v>2.09370910502382E-2</v>
      </c>
      <c r="AT169" s="17">
        <v>0</v>
      </c>
    </row>
    <row r="170" spans="1:46" x14ac:dyDescent="0.3">
      <c r="A170" s="14" t="s">
        <v>64</v>
      </c>
      <c r="B170" s="17">
        <v>9.6965263311981104E-2</v>
      </c>
      <c r="C170" s="17">
        <v>2.6621843157311701E-2</v>
      </c>
      <c r="D170" s="17">
        <v>1.9864220674620299E-2</v>
      </c>
      <c r="E170" s="17">
        <v>3.2444941102242303E-2</v>
      </c>
      <c r="F170" s="17">
        <v>4.0530973862957002E-2</v>
      </c>
      <c r="G170" s="17">
        <v>7.5051829596744099E-2</v>
      </c>
      <c r="H170" s="17">
        <v>6.3560170518335402E-2</v>
      </c>
      <c r="I170" s="17">
        <v>7.8333274990801102E-2</v>
      </c>
      <c r="J170" s="17">
        <v>5.8236688424665499E-2</v>
      </c>
      <c r="K170" s="17">
        <v>6.2715958382659406E-2</v>
      </c>
      <c r="L170" s="17">
        <v>1.2437405150321901</v>
      </c>
      <c r="M170" s="17">
        <v>0.11435324260647001</v>
      </c>
      <c r="N170" s="17">
        <v>0.25851978289210298</v>
      </c>
      <c r="O170" s="17">
        <v>8.40261162839024E-2</v>
      </c>
      <c r="P170" s="17">
        <v>4.0251325230977499E-2</v>
      </c>
      <c r="Q170" s="17">
        <v>3.7761630725810999E-2</v>
      </c>
      <c r="R170" s="17">
        <v>5.3311302273371497E-2</v>
      </c>
      <c r="S170" s="17">
        <v>9.3260063249878705E-2</v>
      </c>
      <c r="T170" s="17">
        <v>3.1329351986044598E-2</v>
      </c>
      <c r="U170" s="17">
        <v>4.4829868706981899E-2</v>
      </c>
      <c r="V170" s="17">
        <v>3.4287229034959302E-2</v>
      </c>
      <c r="W170" s="17">
        <v>4.8501908444256898E-2</v>
      </c>
      <c r="X170" s="17">
        <v>2.2741654432087199E-2</v>
      </c>
      <c r="Y170" s="17">
        <v>2.6978959843581E-2</v>
      </c>
      <c r="Z170" s="17">
        <v>4.3018290833584202E-2</v>
      </c>
      <c r="AA170" s="17">
        <v>2.28991004940245E-2</v>
      </c>
      <c r="AB170" s="17">
        <v>2.1113189927340299E-2</v>
      </c>
      <c r="AC170" s="17">
        <v>3.3728895054166499E-2</v>
      </c>
      <c r="AD170" s="17">
        <v>2.2017271831520399E-2</v>
      </c>
      <c r="AE170" s="17">
        <v>1.5213098654226501E-2</v>
      </c>
      <c r="AF170" s="17">
        <v>8.6539523247955996E-3</v>
      </c>
      <c r="AG170" s="17">
        <v>3.1182821578149399E-2</v>
      </c>
      <c r="AH170" s="17">
        <v>1.4865426328570901E-2</v>
      </c>
      <c r="AI170" s="17">
        <v>8.3310769005492894E-3</v>
      </c>
      <c r="AJ170" s="17">
        <v>8.7713969037538295E-3</v>
      </c>
      <c r="AK170" s="17">
        <v>7.8361957924409295E-3</v>
      </c>
      <c r="AL170" s="17">
        <v>1.2805844177956801E-2</v>
      </c>
      <c r="AM170" s="17">
        <v>1.59559108782052E-2</v>
      </c>
      <c r="AN170" s="17">
        <v>1.9897155894701798E-2</v>
      </c>
      <c r="AO170" s="17">
        <v>7.3855164533087499E-3</v>
      </c>
      <c r="AP170" s="17">
        <v>8.6493419719906907E-3</v>
      </c>
      <c r="AQ170" s="17">
        <v>3.9562091074725199E-2</v>
      </c>
      <c r="AR170" s="17">
        <v>2.3375258034733101E-2</v>
      </c>
      <c r="AS170" s="17">
        <v>2.03314836016927E-2</v>
      </c>
      <c r="AT170" s="17">
        <v>0</v>
      </c>
    </row>
    <row r="171" spans="1:46" x14ac:dyDescent="0.3">
      <c r="A171" s="14" t="s">
        <v>65</v>
      </c>
      <c r="B171" s="17">
        <v>8.7290776976993393E-3</v>
      </c>
      <c r="C171" s="17">
        <v>4.9583236812597801E-3</v>
      </c>
      <c r="D171" s="17">
        <v>2.3889512392382302E-3</v>
      </c>
      <c r="E171" s="17">
        <v>2.8435979016822599E-3</v>
      </c>
      <c r="F171" s="17">
        <v>3.3263567392049602E-3</v>
      </c>
      <c r="G171" s="17">
        <v>7.4885767603548098E-3</v>
      </c>
      <c r="H171" s="17">
        <v>5.0765730358900496E-3</v>
      </c>
      <c r="I171" s="17">
        <v>5.6394865468326503E-3</v>
      </c>
      <c r="J171" s="17">
        <v>4.5838917521275196E-3</v>
      </c>
      <c r="K171" s="17">
        <v>4.2630460395474403E-3</v>
      </c>
      <c r="L171" s="17">
        <v>1.34323911260873E-2</v>
      </c>
      <c r="M171" s="17">
        <v>1.0782845095282001</v>
      </c>
      <c r="N171" s="17">
        <v>1.3546426068561299E-2</v>
      </c>
      <c r="O171" s="17">
        <v>5.4022876923019401E-3</v>
      </c>
      <c r="P171" s="17">
        <v>5.83560726414713E-3</v>
      </c>
      <c r="Q171" s="17">
        <v>3.7830514751928698E-3</v>
      </c>
      <c r="R171" s="17">
        <v>5.7511994149678997E-3</v>
      </c>
      <c r="S171" s="17">
        <v>6.9885269626635098E-3</v>
      </c>
      <c r="T171" s="17">
        <v>3.7237547967424798E-3</v>
      </c>
      <c r="U171" s="17">
        <v>5.5500623090270996E-3</v>
      </c>
      <c r="V171" s="17">
        <v>3.5240863027557602E-3</v>
      </c>
      <c r="W171" s="17">
        <v>4.2362694481402298E-3</v>
      </c>
      <c r="X171" s="17">
        <v>2.40512326116674E-3</v>
      </c>
      <c r="Y171" s="17">
        <v>2.5159257897129999E-3</v>
      </c>
      <c r="Z171" s="17">
        <v>3.6310521789179699E-3</v>
      </c>
      <c r="AA171" s="17">
        <v>2.7777662049083798E-3</v>
      </c>
      <c r="AB171" s="17">
        <v>2.3742745686200898E-3</v>
      </c>
      <c r="AC171" s="17">
        <v>4.4223030598033097E-3</v>
      </c>
      <c r="AD171" s="17">
        <v>3.4652806862292499E-3</v>
      </c>
      <c r="AE171" s="17">
        <v>1.71262148988555E-3</v>
      </c>
      <c r="AF171" s="17">
        <v>1.1097963627171999E-3</v>
      </c>
      <c r="AG171" s="17">
        <v>3.6323510359948601E-3</v>
      </c>
      <c r="AH171" s="17">
        <v>1.85920852870452E-3</v>
      </c>
      <c r="AI171" s="17">
        <v>1.2675207650325001E-3</v>
      </c>
      <c r="AJ171" s="17">
        <v>2.0469439464780798E-3</v>
      </c>
      <c r="AK171" s="17">
        <v>1.15746778286423E-3</v>
      </c>
      <c r="AL171" s="17">
        <v>1.2753730595662001E-3</v>
      </c>
      <c r="AM171" s="17">
        <v>2.69885522061561E-3</v>
      </c>
      <c r="AN171" s="17">
        <v>2.4315583830123101E-3</v>
      </c>
      <c r="AO171" s="17">
        <v>1.05435955236322E-3</v>
      </c>
      <c r="AP171" s="17">
        <v>1.01585265922676E-3</v>
      </c>
      <c r="AQ171" s="17">
        <v>5.2388844970155703E-2</v>
      </c>
      <c r="AR171" s="17">
        <v>3.2954440725705201E-3</v>
      </c>
      <c r="AS171" s="17">
        <v>2.5811964908736399E-3</v>
      </c>
      <c r="AT171" s="17">
        <v>0</v>
      </c>
    </row>
    <row r="172" spans="1:46" x14ac:dyDescent="0.3">
      <c r="A172" s="14" t="s">
        <v>66</v>
      </c>
      <c r="B172" s="17">
        <v>1.6908880148801101E-2</v>
      </c>
      <c r="C172" s="17">
        <v>1.40794844415332E-2</v>
      </c>
      <c r="D172" s="17">
        <v>8.5985123585813495E-3</v>
      </c>
      <c r="E172" s="17">
        <v>1.15593453194893E-2</v>
      </c>
      <c r="F172" s="17">
        <v>1.3918967080961299E-2</v>
      </c>
      <c r="G172" s="17">
        <v>3.4010394593256603E-2</v>
      </c>
      <c r="H172" s="17">
        <v>5.4930960141127097E-2</v>
      </c>
      <c r="I172" s="17">
        <v>5.5732246305008101E-2</v>
      </c>
      <c r="J172" s="17">
        <v>4.2341656415123302E-2</v>
      </c>
      <c r="K172" s="17">
        <v>1.0153366290339499E-2</v>
      </c>
      <c r="L172" s="17">
        <v>3.6907319987776598E-2</v>
      </c>
      <c r="M172" s="17">
        <v>2.2749088299417301E-2</v>
      </c>
      <c r="N172" s="17">
        <v>1.14110784383807</v>
      </c>
      <c r="O172" s="17">
        <v>2.5069981612588801E-2</v>
      </c>
      <c r="P172" s="17">
        <v>1.70773406975471E-2</v>
      </c>
      <c r="Q172" s="17">
        <v>2.7002817615192701E-2</v>
      </c>
      <c r="R172" s="17">
        <v>7.1618264952508198E-2</v>
      </c>
      <c r="S172" s="17">
        <v>8.6258935976397694E-2</v>
      </c>
      <c r="T172" s="17">
        <v>2.8420086516998899E-2</v>
      </c>
      <c r="U172" s="17">
        <v>6.0322769774579697E-2</v>
      </c>
      <c r="V172" s="17">
        <v>2.9395511190765899E-2</v>
      </c>
      <c r="W172" s="17">
        <v>5.7848480324176201E-2</v>
      </c>
      <c r="X172" s="17">
        <v>1.1311324228372501E-2</v>
      </c>
      <c r="Y172" s="17">
        <v>2.2134804710036801E-2</v>
      </c>
      <c r="Z172" s="17">
        <v>4.1054187472120501E-2</v>
      </c>
      <c r="AA172" s="17">
        <v>1.31639270368202E-2</v>
      </c>
      <c r="AB172" s="17">
        <v>1.5689545910172398E-2</v>
      </c>
      <c r="AC172" s="17">
        <v>1.3415793970622101E-2</v>
      </c>
      <c r="AD172" s="17">
        <v>1.0114428215540301E-2</v>
      </c>
      <c r="AE172" s="17">
        <v>1.12299576871957E-2</v>
      </c>
      <c r="AF172" s="17">
        <v>5.3028138317830296E-3</v>
      </c>
      <c r="AG172" s="17">
        <v>1.3730091750154799E-2</v>
      </c>
      <c r="AH172" s="17">
        <v>9.0141909163651401E-3</v>
      </c>
      <c r="AI172" s="17">
        <v>6.3356381100960696E-3</v>
      </c>
      <c r="AJ172" s="17">
        <v>5.7290276709175596E-3</v>
      </c>
      <c r="AK172" s="17">
        <v>5.9449274785449103E-3</v>
      </c>
      <c r="AL172" s="17">
        <v>8.4087867283292993E-3</v>
      </c>
      <c r="AM172" s="17">
        <v>8.49673734567492E-3</v>
      </c>
      <c r="AN172" s="17">
        <v>9.36775079627164E-3</v>
      </c>
      <c r="AO172" s="17">
        <v>5.4757829622285002E-3</v>
      </c>
      <c r="AP172" s="17">
        <v>3.49391929189883E-3</v>
      </c>
      <c r="AQ172" s="17">
        <v>1.4054401747925899E-2</v>
      </c>
      <c r="AR172" s="17">
        <v>8.2966187894397293E-3</v>
      </c>
      <c r="AS172" s="17">
        <v>7.1798560478716902E-3</v>
      </c>
      <c r="AT172" s="17">
        <v>0</v>
      </c>
    </row>
    <row r="173" spans="1:46" x14ac:dyDescent="0.3">
      <c r="A173" s="14" t="s">
        <v>67</v>
      </c>
      <c r="B173" s="17">
        <v>7.6188492525922297E-3</v>
      </c>
      <c r="C173" s="17">
        <v>7.2213714418418E-3</v>
      </c>
      <c r="D173" s="17">
        <v>7.1787704022120901E-3</v>
      </c>
      <c r="E173" s="17">
        <v>3.3477255032559598E-2</v>
      </c>
      <c r="F173" s="17">
        <v>1.9518416702447701E-2</v>
      </c>
      <c r="G173" s="17">
        <v>1.33194320346756E-2</v>
      </c>
      <c r="H173" s="17">
        <v>7.7650833133497202E-3</v>
      </c>
      <c r="I173" s="17">
        <v>1.5741456474942499E-2</v>
      </c>
      <c r="J173" s="17">
        <v>6.4570920969687596E-3</v>
      </c>
      <c r="K173" s="17">
        <v>6.1533723981696403E-3</v>
      </c>
      <c r="L173" s="17">
        <v>9.6700028735743106E-3</v>
      </c>
      <c r="M173" s="17">
        <v>8.4218593675604806E-3</v>
      </c>
      <c r="N173" s="17">
        <v>1.1354333997715099E-2</v>
      </c>
      <c r="O173" s="17">
        <v>1.1340424966742699</v>
      </c>
      <c r="P173" s="17">
        <v>1.27666611453291E-2</v>
      </c>
      <c r="Q173" s="17">
        <v>9.7476917678707403E-3</v>
      </c>
      <c r="R173" s="17">
        <v>1.24143981043832E-2</v>
      </c>
      <c r="S173" s="17">
        <v>1.7403213481891298E-2</v>
      </c>
      <c r="T173" s="17">
        <v>9.6532212448296097E-3</v>
      </c>
      <c r="U173" s="17">
        <v>1.74589438142639E-2</v>
      </c>
      <c r="V173" s="17">
        <v>1.0747446124844099E-2</v>
      </c>
      <c r="W173" s="17">
        <v>1.0144591338395501E-2</v>
      </c>
      <c r="X173" s="17">
        <v>8.2860762720761792E-3</v>
      </c>
      <c r="Y173" s="17">
        <v>9.1845585132536E-3</v>
      </c>
      <c r="Z173" s="17">
        <v>0.10102672639357201</v>
      </c>
      <c r="AA173" s="17">
        <v>7.6927601502175301E-3</v>
      </c>
      <c r="AB173" s="17">
        <v>5.3625405449129401E-3</v>
      </c>
      <c r="AC173" s="17">
        <v>1.35789326330376E-2</v>
      </c>
      <c r="AD173" s="17">
        <v>7.0630360908250601E-3</v>
      </c>
      <c r="AE173" s="17">
        <v>8.8297410228381397E-3</v>
      </c>
      <c r="AF173" s="17">
        <v>2.0002185145445699E-3</v>
      </c>
      <c r="AG173" s="17">
        <v>7.1862898455120503E-3</v>
      </c>
      <c r="AH173" s="17">
        <v>3.1655847787578199E-3</v>
      </c>
      <c r="AI173" s="17">
        <v>4.0918282610452102E-3</v>
      </c>
      <c r="AJ173" s="17">
        <v>3.0391887423671E-3</v>
      </c>
      <c r="AK173" s="17">
        <v>2.5371126764249501E-3</v>
      </c>
      <c r="AL173" s="17">
        <v>1.9328749349077998E-2</v>
      </c>
      <c r="AM173" s="17">
        <v>5.9149349098580502E-3</v>
      </c>
      <c r="AN173" s="17">
        <v>4.8311705001479301E-3</v>
      </c>
      <c r="AO173" s="17">
        <v>3.4941994002170899E-3</v>
      </c>
      <c r="AP173" s="17">
        <v>2.5261281313371099E-3</v>
      </c>
      <c r="AQ173" s="17">
        <v>5.5566564113891E-3</v>
      </c>
      <c r="AR173" s="17">
        <v>5.1837535327002599E-3</v>
      </c>
      <c r="AS173" s="17">
        <v>4.2546735895152999E-3</v>
      </c>
      <c r="AT173" s="17">
        <v>0</v>
      </c>
    </row>
    <row r="174" spans="1:46" x14ac:dyDescent="0.3">
      <c r="A174" s="14" t="s">
        <v>68</v>
      </c>
      <c r="B174" s="17">
        <v>1.8287527804463199E-2</v>
      </c>
      <c r="C174" s="17">
        <v>1.7837365262561199E-2</v>
      </c>
      <c r="D174" s="17">
        <v>2.1651825198672099E-2</v>
      </c>
      <c r="E174" s="17">
        <v>2.6635183863058E-2</v>
      </c>
      <c r="F174" s="17">
        <v>4.7665194730789402E-2</v>
      </c>
      <c r="G174" s="17">
        <v>2.5011687485085098E-2</v>
      </c>
      <c r="H174" s="17">
        <v>2.1887884110066098E-2</v>
      </c>
      <c r="I174" s="17">
        <v>7.7546697049113406E-2</v>
      </c>
      <c r="J174" s="17">
        <v>2.51756438802355E-2</v>
      </c>
      <c r="K174" s="17">
        <v>2.27719311738077E-2</v>
      </c>
      <c r="L174" s="17">
        <v>3.4013036269075501E-2</v>
      </c>
      <c r="M174" s="17">
        <v>2.0893297103361599E-2</v>
      </c>
      <c r="N174" s="17">
        <v>4.7326075175299298E-2</v>
      </c>
      <c r="O174" s="17">
        <v>5.3076052655639999E-2</v>
      </c>
      <c r="P174" s="17">
        <v>1.4399846421692399</v>
      </c>
      <c r="Q174" s="17">
        <v>0.28126503054304602</v>
      </c>
      <c r="R174" s="17">
        <v>6.74945051085655E-2</v>
      </c>
      <c r="S174" s="17">
        <v>0.25399387242319499</v>
      </c>
      <c r="T174" s="17">
        <v>0.14358822813723299</v>
      </c>
      <c r="U174" s="17">
        <v>0.103969193877676</v>
      </c>
      <c r="V174" s="17">
        <v>0.158363512837911</v>
      </c>
      <c r="W174" s="17">
        <v>8.0115389560564201E-2</v>
      </c>
      <c r="X174" s="17">
        <v>2.4950407933813899E-2</v>
      </c>
      <c r="Y174" s="17">
        <v>2.7544482270376602E-2</v>
      </c>
      <c r="Z174" s="17">
        <v>7.5727988552705294E-2</v>
      </c>
      <c r="AA174" s="17">
        <v>2.22004419938579E-2</v>
      </c>
      <c r="AB174" s="17">
        <v>2.7148593356066699E-2</v>
      </c>
      <c r="AC174" s="17">
        <v>2.67062163615579E-2</v>
      </c>
      <c r="AD174" s="17">
        <v>1.8412934339028401E-2</v>
      </c>
      <c r="AE174" s="17">
        <v>1.8744432172211001E-2</v>
      </c>
      <c r="AF174" s="17">
        <v>5.8519281271338401E-3</v>
      </c>
      <c r="AG174" s="17">
        <v>1.37262135401149E-2</v>
      </c>
      <c r="AH174" s="17">
        <v>8.6573530948638403E-3</v>
      </c>
      <c r="AI174" s="17">
        <v>1.1314729391038799E-2</v>
      </c>
      <c r="AJ174" s="17">
        <v>9.6496077062596698E-3</v>
      </c>
      <c r="AK174" s="17">
        <v>6.6801487720908699E-3</v>
      </c>
      <c r="AL174" s="17">
        <v>1.4470630740410601E-2</v>
      </c>
      <c r="AM174" s="17">
        <v>2.1340410173368698E-2</v>
      </c>
      <c r="AN174" s="17">
        <v>2.7652784523921399E-2</v>
      </c>
      <c r="AO174" s="17">
        <v>6.4425124845181999E-3</v>
      </c>
      <c r="AP174" s="17">
        <v>5.6624560185444903E-3</v>
      </c>
      <c r="AQ174" s="17">
        <v>1.19631064209859E-2</v>
      </c>
      <c r="AR174" s="17">
        <v>1.23790345579886E-2</v>
      </c>
      <c r="AS174" s="17">
        <v>1.19638927145558E-2</v>
      </c>
      <c r="AT174" s="17">
        <v>0</v>
      </c>
    </row>
    <row r="175" spans="1:46" x14ac:dyDescent="0.3">
      <c r="A175" s="14" t="s">
        <v>69</v>
      </c>
      <c r="B175" s="17">
        <v>1.5538518202361301E-2</v>
      </c>
      <c r="C175" s="17">
        <v>1.4029264847062701E-2</v>
      </c>
      <c r="D175" s="17">
        <v>1.1789663393303101E-2</v>
      </c>
      <c r="E175" s="17">
        <v>1.8950842461920501E-2</v>
      </c>
      <c r="F175" s="17">
        <v>2.1977339142197998E-2</v>
      </c>
      <c r="G175" s="17">
        <v>3.0786471286012401E-2</v>
      </c>
      <c r="H175" s="17">
        <v>2.6644760510269701E-2</v>
      </c>
      <c r="I175" s="17">
        <v>5.1213089492194601E-2</v>
      </c>
      <c r="J175" s="17">
        <v>2.3952429203524601E-2</v>
      </c>
      <c r="K175" s="17">
        <v>1.5309246922614201E-2</v>
      </c>
      <c r="L175" s="17">
        <v>2.4738250765591701E-2</v>
      </c>
      <c r="M175" s="17">
        <v>1.4998949025143199E-2</v>
      </c>
      <c r="N175" s="17">
        <v>4.9934971772841202E-2</v>
      </c>
      <c r="O175" s="17">
        <v>2.5092257904834801E-2</v>
      </c>
      <c r="P175" s="17">
        <v>4.8410126746358501E-2</v>
      </c>
      <c r="Q175" s="17">
        <v>1.2071816014307899</v>
      </c>
      <c r="R175" s="17">
        <v>4.4863836283001501E-2</v>
      </c>
      <c r="S175" s="17">
        <v>7.0821111776937604E-2</v>
      </c>
      <c r="T175" s="17">
        <v>0.11493998082336999</v>
      </c>
      <c r="U175" s="17">
        <v>0.101264604076036</v>
      </c>
      <c r="V175" s="17">
        <v>6.7728333953383998E-2</v>
      </c>
      <c r="W175" s="17">
        <v>6.6269119731066903E-2</v>
      </c>
      <c r="X175" s="17">
        <v>2.1902740987871899E-2</v>
      </c>
      <c r="Y175" s="17">
        <v>1.9539311440641E-2</v>
      </c>
      <c r="Z175" s="17">
        <v>8.0171987155201796E-2</v>
      </c>
      <c r="AA175" s="17">
        <v>1.75553093969203E-2</v>
      </c>
      <c r="AB175" s="17">
        <v>1.55030371986673E-2</v>
      </c>
      <c r="AC175" s="17">
        <v>1.80241162005737E-2</v>
      </c>
      <c r="AD175" s="17">
        <v>1.5197317533761001E-2</v>
      </c>
      <c r="AE175" s="17">
        <v>1.8227940109327899E-2</v>
      </c>
      <c r="AF175" s="17">
        <v>5.2963363765752202E-3</v>
      </c>
      <c r="AG175" s="17">
        <v>1.39288162507163E-2</v>
      </c>
      <c r="AH175" s="17">
        <v>7.8091911288343504E-3</v>
      </c>
      <c r="AI175" s="17">
        <v>1.05922573595348E-2</v>
      </c>
      <c r="AJ175" s="17">
        <v>7.9565829221910998E-3</v>
      </c>
      <c r="AK175" s="17">
        <v>5.3119741198230704E-3</v>
      </c>
      <c r="AL175" s="17">
        <v>1.24990832170403E-2</v>
      </c>
      <c r="AM175" s="17">
        <v>9.3522321234266893E-3</v>
      </c>
      <c r="AN175" s="17">
        <v>1.1076317436133401E-2</v>
      </c>
      <c r="AO175" s="17">
        <v>6.3763510051728896E-3</v>
      </c>
      <c r="AP175" s="17">
        <v>6.8162277466538397E-3</v>
      </c>
      <c r="AQ175" s="17">
        <v>1.16429392722119E-2</v>
      </c>
      <c r="AR175" s="17">
        <v>1.2981581265543E-2</v>
      </c>
      <c r="AS175" s="17">
        <v>9.1336620423312798E-3</v>
      </c>
      <c r="AT175" s="17">
        <v>0</v>
      </c>
    </row>
    <row r="176" spans="1:46" x14ac:dyDescent="0.3">
      <c r="A176" s="14" t="s">
        <v>70</v>
      </c>
      <c r="B176" s="17">
        <v>1.8983465065737601E-2</v>
      </c>
      <c r="C176" s="17">
        <v>2.0962813756628802E-2</v>
      </c>
      <c r="D176" s="17">
        <v>2.78753286194354E-2</v>
      </c>
      <c r="E176" s="17">
        <v>2.42705088370468E-2</v>
      </c>
      <c r="F176" s="17">
        <v>5.4042190575013603E-2</v>
      </c>
      <c r="G176" s="17">
        <v>2.5270170697683399E-2</v>
      </c>
      <c r="H176" s="17">
        <v>2.68770234750354E-2</v>
      </c>
      <c r="I176" s="17">
        <v>2.7382236974408801E-2</v>
      </c>
      <c r="J176" s="17">
        <v>2.99218062560371E-2</v>
      </c>
      <c r="K176" s="17">
        <v>2.5744821687855201E-2</v>
      </c>
      <c r="L176" s="17">
        <v>3.0136539647763999E-2</v>
      </c>
      <c r="M176" s="17">
        <v>2.36849712460982E-2</v>
      </c>
      <c r="N176" s="17">
        <v>4.6612545861402198E-2</v>
      </c>
      <c r="O176" s="17">
        <v>2.5688176484051299E-2</v>
      </c>
      <c r="P176" s="17">
        <v>3.22886076854818E-2</v>
      </c>
      <c r="Q176" s="17">
        <v>4.58598536654483E-2</v>
      </c>
      <c r="R176" s="17">
        <v>1.9460846984484099</v>
      </c>
      <c r="S176" s="17">
        <v>0.18998301260917899</v>
      </c>
      <c r="T176" s="17">
        <v>6.1406559553219602E-2</v>
      </c>
      <c r="U176" s="17">
        <v>0.20422459782456701</v>
      </c>
      <c r="V176" s="17">
        <v>4.0888198406303401E-2</v>
      </c>
      <c r="W176" s="17">
        <v>0.18139162755570301</v>
      </c>
      <c r="X176" s="17">
        <v>3.31151406882235E-2</v>
      </c>
      <c r="Y176" s="17">
        <v>2.9059668019020699E-2</v>
      </c>
      <c r="Z176" s="17">
        <v>3.9299668770319901E-2</v>
      </c>
      <c r="AA176" s="17">
        <v>3.6214224311985198E-2</v>
      </c>
      <c r="AB176" s="17">
        <v>2.7040424574949901E-2</v>
      </c>
      <c r="AC176" s="17">
        <v>3.5003741018249802E-2</v>
      </c>
      <c r="AD176" s="17">
        <v>2.96113967766094E-2</v>
      </c>
      <c r="AE176" s="17">
        <v>2.6869366588667599E-2</v>
      </c>
      <c r="AF176" s="17">
        <v>2.6813817163869502E-2</v>
      </c>
      <c r="AG176" s="17">
        <v>1.96722111654975E-2</v>
      </c>
      <c r="AH176" s="17">
        <v>2.2098116741345101E-2</v>
      </c>
      <c r="AI176" s="17">
        <v>4.5440305756568801E-2</v>
      </c>
      <c r="AJ176" s="17">
        <v>6.0402455192904297E-2</v>
      </c>
      <c r="AK176" s="17">
        <v>2.3653796523604699E-2</v>
      </c>
      <c r="AL176" s="17">
        <v>1.61819019604687E-2</v>
      </c>
      <c r="AM176" s="17">
        <v>2.7211073101208998E-2</v>
      </c>
      <c r="AN176" s="17">
        <v>2.6842316257950499E-2</v>
      </c>
      <c r="AO176" s="17">
        <v>1.43659898986293E-2</v>
      </c>
      <c r="AP176" s="17">
        <v>1.8639704653903098E-2</v>
      </c>
      <c r="AQ176" s="17">
        <v>3.9719525187927499E-2</v>
      </c>
      <c r="AR176" s="17">
        <v>2.52446430453982E-2</v>
      </c>
      <c r="AS176" s="17">
        <v>3.07655369784301E-2</v>
      </c>
      <c r="AT176" s="17">
        <v>0</v>
      </c>
    </row>
    <row r="177" spans="1:46" x14ac:dyDescent="0.3">
      <c r="A177" s="14" t="s">
        <v>71</v>
      </c>
      <c r="B177" s="17">
        <v>1.1454783217222301E-2</v>
      </c>
      <c r="C177" s="17">
        <v>1.1688021212789199E-2</v>
      </c>
      <c r="D177" s="17">
        <v>1.0869578343416701E-2</v>
      </c>
      <c r="E177" s="17">
        <v>1.53594682937399E-2</v>
      </c>
      <c r="F177" s="17">
        <v>1.9215448720148701E-2</v>
      </c>
      <c r="G177" s="17">
        <v>1.40643389171818E-2</v>
      </c>
      <c r="H177" s="17">
        <v>1.49101473876411E-2</v>
      </c>
      <c r="I177" s="17">
        <v>1.6715860124699701E-2</v>
      </c>
      <c r="J177" s="17">
        <v>1.7301016251626201E-2</v>
      </c>
      <c r="K177" s="17">
        <v>1.37427919712071E-2</v>
      </c>
      <c r="L177" s="17">
        <v>1.9221045687576901E-2</v>
      </c>
      <c r="M177" s="17">
        <v>1.1533439469318001E-2</v>
      </c>
      <c r="N177" s="17">
        <v>2.42430387142402E-2</v>
      </c>
      <c r="O177" s="17">
        <v>1.69415923390785E-2</v>
      </c>
      <c r="P177" s="17">
        <v>2.31934238625877E-2</v>
      </c>
      <c r="Q177" s="17">
        <v>5.9288831525416003E-2</v>
      </c>
      <c r="R177" s="17">
        <v>0.17439963190093399</v>
      </c>
      <c r="S177" s="17">
        <v>1.1614726392176</v>
      </c>
      <c r="T177" s="17">
        <v>6.7525820500847794E-2</v>
      </c>
      <c r="U177" s="17">
        <v>9.5364785765455998E-2</v>
      </c>
      <c r="V177" s="17">
        <v>5.0324062029766997E-2</v>
      </c>
      <c r="W177" s="17">
        <v>5.0179922922022502E-2</v>
      </c>
      <c r="X177" s="17">
        <v>2.6054250468678899E-2</v>
      </c>
      <c r="Y177" s="17">
        <v>1.54531372079026E-2</v>
      </c>
      <c r="Z177" s="17">
        <v>4.7871326212746999E-2</v>
      </c>
      <c r="AA177" s="17">
        <v>1.5608012958319799E-2</v>
      </c>
      <c r="AB177" s="17">
        <v>1.40286860370177E-2</v>
      </c>
      <c r="AC177" s="17">
        <v>2.1193378717398199E-2</v>
      </c>
      <c r="AD177" s="17">
        <v>1.3091976086212501E-2</v>
      </c>
      <c r="AE177" s="17">
        <v>1.27191821723599E-2</v>
      </c>
      <c r="AF177" s="17">
        <v>6.4729070786069898E-3</v>
      </c>
      <c r="AG177" s="17">
        <v>1.01528492336648E-2</v>
      </c>
      <c r="AH177" s="17">
        <v>7.4958133507614499E-3</v>
      </c>
      <c r="AI177" s="17">
        <v>1.8723985936500601E-2</v>
      </c>
      <c r="AJ177" s="17">
        <v>1.2711773551122E-2</v>
      </c>
      <c r="AK177" s="17">
        <v>5.8509697768994399E-3</v>
      </c>
      <c r="AL177" s="17">
        <v>9.9851310172546903E-3</v>
      </c>
      <c r="AM177" s="17">
        <v>1.1070197456052099E-2</v>
      </c>
      <c r="AN177" s="17">
        <v>1.0352807935674399E-2</v>
      </c>
      <c r="AO177" s="17">
        <v>6.4748307617214004E-3</v>
      </c>
      <c r="AP177" s="17">
        <v>5.0973210971562303E-3</v>
      </c>
      <c r="AQ177" s="17">
        <v>1.01850410497582E-2</v>
      </c>
      <c r="AR177" s="17">
        <v>1.04990257186871E-2</v>
      </c>
      <c r="AS177" s="17">
        <v>9.4909520463164494E-3</v>
      </c>
      <c r="AT177" s="17">
        <v>0</v>
      </c>
    </row>
    <row r="178" spans="1:46" x14ac:dyDescent="0.3">
      <c r="A178" s="14" t="s">
        <v>72</v>
      </c>
      <c r="B178" s="17">
        <v>3.2834411171612697E-2</v>
      </c>
      <c r="C178" s="17">
        <v>3.0417973109132301E-2</v>
      </c>
      <c r="D178" s="17">
        <v>2.7784920752143599E-2</v>
      </c>
      <c r="E178" s="17">
        <v>4.92341616414931E-2</v>
      </c>
      <c r="F178" s="17">
        <v>3.9416196348380297E-2</v>
      </c>
      <c r="G178" s="17">
        <v>3.2321223529236998E-2</v>
      </c>
      <c r="H178" s="17">
        <v>2.8415729400322099E-2</v>
      </c>
      <c r="I178" s="17">
        <v>3.4178120111585497E-2</v>
      </c>
      <c r="J178" s="17">
        <v>4.5802198305358102E-2</v>
      </c>
      <c r="K178" s="17">
        <v>2.9581372098338801E-2</v>
      </c>
      <c r="L178" s="17">
        <v>3.9459504530177297E-2</v>
      </c>
      <c r="M178" s="17">
        <v>2.2326503401998401E-2</v>
      </c>
      <c r="N178" s="17">
        <v>3.9828779758434601E-2</v>
      </c>
      <c r="O178" s="17">
        <v>4.0276618061715098E-2</v>
      </c>
      <c r="P178" s="17">
        <v>4.9784398044733301E-2</v>
      </c>
      <c r="Q178" s="17">
        <v>5.22157769279981E-2</v>
      </c>
      <c r="R178" s="17">
        <v>6.2067657384244898E-2</v>
      </c>
      <c r="S178" s="17">
        <v>7.2942214983678796E-2</v>
      </c>
      <c r="T178" s="17">
        <v>1.12195805944591</v>
      </c>
      <c r="U178" s="17">
        <v>0.23086688469456501</v>
      </c>
      <c r="V178" s="17">
        <v>5.8157013761772999E-2</v>
      </c>
      <c r="W178" s="17">
        <v>4.8837808750461502E-2</v>
      </c>
      <c r="X178" s="17">
        <v>2.9236217068882998E-2</v>
      </c>
      <c r="Y178" s="17">
        <v>2.8028935066390599E-2</v>
      </c>
      <c r="Z178" s="17">
        <v>4.1033781713083202E-2</v>
      </c>
      <c r="AA178" s="17">
        <v>3.1154640419389899E-2</v>
      </c>
      <c r="AB178" s="17">
        <v>2.5666440434164599E-2</v>
      </c>
      <c r="AC178" s="17">
        <v>2.7304334333917098E-2</v>
      </c>
      <c r="AD178" s="17">
        <v>2.2699391567024701E-2</v>
      </c>
      <c r="AE178" s="17">
        <v>2.4843815803306801E-2</v>
      </c>
      <c r="AF178" s="17">
        <v>6.8450390240488001E-3</v>
      </c>
      <c r="AG178" s="17">
        <v>1.8628461429497801E-2</v>
      </c>
      <c r="AH178" s="17">
        <v>1.2413382069871901E-2</v>
      </c>
      <c r="AI178" s="17">
        <v>1.08684591927069E-2</v>
      </c>
      <c r="AJ178" s="17">
        <v>1.13254268849115E-2</v>
      </c>
      <c r="AK178" s="17">
        <v>7.7495924637298302E-3</v>
      </c>
      <c r="AL178" s="17">
        <v>1.1936907247139601E-2</v>
      </c>
      <c r="AM178" s="17">
        <v>1.31496041420168E-2</v>
      </c>
      <c r="AN178" s="17">
        <v>1.4841302223594499E-2</v>
      </c>
      <c r="AO178" s="17">
        <v>6.4912407941590203E-3</v>
      </c>
      <c r="AP178" s="17">
        <v>5.9632204405449703E-3</v>
      </c>
      <c r="AQ178" s="17">
        <v>1.30138752012138E-2</v>
      </c>
      <c r="AR178" s="17">
        <v>1.29886030523468E-2</v>
      </c>
      <c r="AS178" s="17">
        <v>1.4945884211661899E-2</v>
      </c>
      <c r="AT178" s="17">
        <v>0</v>
      </c>
    </row>
    <row r="179" spans="1:46" x14ac:dyDescent="0.3">
      <c r="A179" s="14" t="s">
        <v>73</v>
      </c>
      <c r="B179" s="17">
        <v>1.17298411347025E-2</v>
      </c>
      <c r="C179" s="17">
        <v>1.29773113724455E-2</v>
      </c>
      <c r="D179" s="17">
        <v>1.0161183785051001E-2</v>
      </c>
      <c r="E179" s="17">
        <v>1.57369686423635E-2</v>
      </c>
      <c r="F179" s="17">
        <v>1.44475418366208E-2</v>
      </c>
      <c r="G179" s="17">
        <v>1.29762242677374E-2</v>
      </c>
      <c r="H179" s="17">
        <v>1.5414694748075801E-2</v>
      </c>
      <c r="I179" s="17">
        <v>1.42213684458838E-2</v>
      </c>
      <c r="J179" s="17">
        <v>1.4020365093445E-2</v>
      </c>
      <c r="K179" s="17">
        <v>1.0044021878458801E-2</v>
      </c>
      <c r="L179" s="17">
        <v>1.34488815705928E-2</v>
      </c>
      <c r="M179" s="17">
        <v>8.8926567248124398E-3</v>
      </c>
      <c r="N179" s="17">
        <v>2.1658844218416799E-2</v>
      </c>
      <c r="O179" s="17">
        <v>1.8912028080722301E-2</v>
      </c>
      <c r="P179" s="17">
        <v>2.91216526873272E-2</v>
      </c>
      <c r="Q179" s="17">
        <v>2.8145897660753899E-2</v>
      </c>
      <c r="R179" s="17">
        <v>4.3956310002127498E-2</v>
      </c>
      <c r="S179" s="17">
        <v>3.8833708771193E-2</v>
      </c>
      <c r="T179" s="17">
        <v>2.97727858014048E-2</v>
      </c>
      <c r="U179" s="17">
        <v>1.19907862013956</v>
      </c>
      <c r="V179" s="17">
        <v>5.4905921323745902E-2</v>
      </c>
      <c r="W179" s="17">
        <v>2.16650542195981E-2</v>
      </c>
      <c r="X179" s="17">
        <v>1.08192564363898E-2</v>
      </c>
      <c r="Y179" s="17">
        <v>1.3942909815210401E-2</v>
      </c>
      <c r="Z179" s="17">
        <v>2.1789883388218401E-2</v>
      </c>
      <c r="AA179" s="17">
        <v>2.43042259722757E-2</v>
      </c>
      <c r="AB179" s="17">
        <v>2.6167164562108401E-2</v>
      </c>
      <c r="AC179" s="17">
        <v>2.6389710845031399E-2</v>
      </c>
      <c r="AD179" s="17">
        <v>1.11170535616273E-2</v>
      </c>
      <c r="AE179" s="17">
        <v>1.1904245710778E-2</v>
      </c>
      <c r="AF179" s="17">
        <v>4.5757757733062903E-3</v>
      </c>
      <c r="AG179" s="17">
        <v>8.1734989785872802E-3</v>
      </c>
      <c r="AH179" s="17">
        <v>5.0417260610253704E-3</v>
      </c>
      <c r="AI179" s="17">
        <v>5.7917579001868398E-3</v>
      </c>
      <c r="AJ179" s="17">
        <v>5.9682990434978701E-3</v>
      </c>
      <c r="AK179" s="17">
        <v>3.7515057972242701E-3</v>
      </c>
      <c r="AL179" s="17">
        <v>5.40356142253187E-3</v>
      </c>
      <c r="AM179" s="17">
        <v>6.3729633829699497E-3</v>
      </c>
      <c r="AN179" s="17">
        <v>9.8157447058019997E-3</v>
      </c>
      <c r="AO179" s="17">
        <v>3.6067805960346101E-3</v>
      </c>
      <c r="AP179" s="17">
        <v>2.86705892875724E-3</v>
      </c>
      <c r="AQ179" s="17">
        <v>6.3546841358955598E-3</v>
      </c>
      <c r="AR179" s="17">
        <v>6.4270936553407296E-3</v>
      </c>
      <c r="AS179" s="17">
        <v>7.1792888503708699E-3</v>
      </c>
      <c r="AT179" s="17">
        <v>0</v>
      </c>
    </row>
    <row r="180" spans="1:46" x14ac:dyDescent="0.3">
      <c r="A180" s="14" t="s">
        <v>74</v>
      </c>
      <c r="B180" s="17">
        <v>1.4273548740248499E-3</v>
      </c>
      <c r="C180" s="17">
        <v>1.28718268041086E-3</v>
      </c>
      <c r="D180" s="17">
        <v>1.31405179073379E-3</v>
      </c>
      <c r="E180" s="17">
        <v>1.80118925743683E-3</v>
      </c>
      <c r="F180" s="17">
        <v>2.3995640497271602E-3</v>
      </c>
      <c r="G180" s="17">
        <v>1.85148942384247E-3</v>
      </c>
      <c r="H180" s="17">
        <v>1.83946074914343E-3</v>
      </c>
      <c r="I180" s="17">
        <v>3.5648307398708102E-3</v>
      </c>
      <c r="J180" s="17">
        <v>1.8334515858379999E-3</v>
      </c>
      <c r="K180" s="17">
        <v>1.5783473288904801E-3</v>
      </c>
      <c r="L180" s="17">
        <v>2.1403769495973099E-3</v>
      </c>
      <c r="M180" s="17">
        <v>1.4226584070785901E-3</v>
      </c>
      <c r="N180" s="17">
        <v>2.6208513324673501E-3</v>
      </c>
      <c r="O180" s="17">
        <v>2.7285663397240401E-3</v>
      </c>
      <c r="P180" s="17">
        <v>4.7727973379305302E-2</v>
      </c>
      <c r="Q180" s="17">
        <v>1.04843775121683E-2</v>
      </c>
      <c r="R180" s="17">
        <v>4.3718907156965097E-3</v>
      </c>
      <c r="S180" s="17">
        <v>1.07617935322884E-2</v>
      </c>
      <c r="T180" s="17">
        <v>8.2773180990544995E-3</v>
      </c>
      <c r="U180" s="17">
        <v>5.7089912672798598E-3</v>
      </c>
      <c r="V180" s="17">
        <v>1.25188943426494</v>
      </c>
      <c r="W180" s="17">
        <v>1.29033829666543E-2</v>
      </c>
      <c r="X180" s="17">
        <v>1.8499534155228699E-3</v>
      </c>
      <c r="Y180" s="17">
        <v>1.66758080256705E-3</v>
      </c>
      <c r="Z180" s="17">
        <v>4.0220116778773201E-3</v>
      </c>
      <c r="AA180" s="17">
        <v>2.4358303435888001E-3</v>
      </c>
      <c r="AB180" s="17">
        <v>4.0659491609188001E-3</v>
      </c>
      <c r="AC180" s="17">
        <v>3.1922214830962699E-3</v>
      </c>
      <c r="AD180" s="17">
        <v>3.73816776410153E-3</v>
      </c>
      <c r="AE180" s="17">
        <v>5.3528098845785198E-3</v>
      </c>
      <c r="AF180" s="17">
        <v>6.9570514908772797E-4</v>
      </c>
      <c r="AG180" s="17">
        <v>1.14007068620892E-3</v>
      </c>
      <c r="AH180" s="17">
        <v>7.5245803729106695E-4</v>
      </c>
      <c r="AI180" s="17">
        <v>9.0607523937769302E-4</v>
      </c>
      <c r="AJ180" s="17">
        <v>8.90283626757595E-4</v>
      </c>
      <c r="AK180" s="17">
        <v>6.3197571985401798E-4</v>
      </c>
      <c r="AL180" s="17">
        <v>8.5815182679020903E-4</v>
      </c>
      <c r="AM180" s="17">
        <v>1.2121300083003E-3</v>
      </c>
      <c r="AN180" s="17">
        <v>4.21526935866733E-3</v>
      </c>
      <c r="AO180" s="17">
        <v>1.34363437966412E-3</v>
      </c>
      <c r="AP180" s="17">
        <v>5.0322490054133002E-4</v>
      </c>
      <c r="AQ180" s="17">
        <v>1.19095576892856E-3</v>
      </c>
      <c r="AR180" s="17">
        <v>1.2497024170280201E-3</v>
      </c>
      <c r="AS180" s="17">
        <v>1.0202298271198801E-3</v>
      </c>
      <c r="AT180" s="17">
        <v>0</v>
      </c>
    </row>
    <row r="181" spans="1:46" x14ac:dyDescent="0.3">
      <c r="A181" s="14" t="s">
        <v>75</v>
      </c>
      <c r="B181" s="17">
        <v>7.7794083692923196E-3</v>
      </c>
      <c r="C181" s="17">
        <v>8.4909884937642809E-3</v>
      </c>
      <c r="D181" s="17">
        <v>8.1026819218456593E-3</v>
      </c>
      <c r="E181" s="17">
        <v>1.5801961912157301E-2</v>
      </c>
      <c r="F181" s="17">
        <v>1.46616348282193E-2</v>
      </c>
      <c r="G181" s="17">
        <v>1.05358857466935E-2</v>
      </c>
      <c r="H181" s="17">
        <v>3.7541426244691901E-2</v>
      </c>
      <c r="I181" s="17">
        <v>1.6890289306580101E-2</v>
      </c>
      <c r="J181" s="17">
        <v>1.4258250853604999E-2</v>
      </c>
      <c r="K181" s="17">
        <v>1.7995819839342599E-2</v>
      </c>
      <c r="L181" s="17">
        <v>2.0570904939278899E-2</v>
      </c>
      <c r="M181" s="17">
        <v>1.16761882003191E-2</v>
      </c>
      <c r="N181" s="17">
        <v>1.8701871257986401E-2</v>
      </c>
      <c r="O181" s="17">
        <v>1.33153674991827E-2</v>
      </c>
      <c r="P181" s="17">
        <v>1.6620176115851999E-2</v>
      </c>
      <c r="Q181" s="17">
        <v>1.43323802658768E-2</v>
      </c>
      <c r="R181" s="17">
        <v>2.0950265409316601E-2</v>
      </c>
      <c r="S181" s="17">
        <v>1.7038495627258999E-2</v>
      </c>
      <c r="T181" s="17">
        <v>2.00408039160502E-2</v>
      </c>
      <c r="U181" s="17">
        <v>2.0386519754550698E-2</v>
      </c>
      <c r="V181" s="17">
        <v>1.4612590278024499E-2</v>
      </c>
      <c r="W181" s="17">
        <v>1.0410803379134901</v>
      </c>
      <c r="X181" s="17">
        <v>2.88213425795803E-2</v>
      </c>
      <c r="Y181" s="17">
        <v>1.06018863994815E-2</v>
      </c>
      <c r="Z181" s="17">
        <v>1.37648835765275E-2</v>
      </c>
      <c r="AA181" s="17">
        <v>8.4049967872511407E-3</v>
      </c>
      <c r="AB181" s="17">
        <v>2.36459768199789E-2</v>
      </c>
      <c r="AC181" s="17">
        <v>2.2592395813616498E-2</v>
      </c>
      <c r="AD181" s="17">
        <v>2.5261407613648802E-2</v>
      </c>
      <c r="AE181" s="17">
        <v>2.50499575708188E-2</v>
      </c>
      <c r="AF181" s="17">
        <v>4.28899911069275E-3</v>
      </c>
      <c r="AG181" s="17">
        <v>6.9210104820424997E-3</v>
      </c>
      <c r="AH181" s="17">
        <v>5.4290397392858904E-3</v>
      </c>
      <c r="AI181" s="17">
        <v>8.4379161283772899E-3</v>
      </c>
      <c r="AJ181" s="17">
        <v>4.8078473671863704E-3</v>
      </c>
      <c r="AK181" s="17">
        <v>4.6960332774149197E-3</v>
      </c>
      <c r="AL181" s="17">
        <v>4.6212603431497398E-3</v>
      </c>
      <c r="AM181" s="17">
        <v>5.7480374986615202E-3</v>
      </c>
      <c r="AN181" s="17">
        <v>6.1439794912591097E-3</v>
      </c>
      <c r="AO181" s="17">
        <v>5.0493442876514798E-3</v>
      </c>
      <c r="AP181" s="17">
        <v>5.1920881867036101E-3</v>
      </c>
      <c r="AQ181" s="17">
        <v>2.8379058212489601E-2</v>
      </c>
      <c r="AR181" s="17">
        <v>8.1883065546606397E-3</v>
      </c>
      <c r="AS181" s="17">
        <v>6.1766783528636399E-3</v>
      </c>
      <c r="AT181" s="17">
        <v>0</v>
      </c>
    </row>
    <row r="182" spans="1:46" x14ac:dyDescent="0.3">
      <c r="A182" s="14" t="s">
        <v>76</v>
      </c>
      <c r="B182" s="17">
        <v>6.2053308507296803E-2</v>
      </c>
      <c r="C182" s="17">
        <v>6.2324986492179497E-2</v>
      </c>
      <c r="D182" s="17">
        <v>3.2917625409997098E-2</v>
      </c>
      <c r="E182" s="17">
        <v>7.5171524745612603E-2</v>
      </c>
      <c r="F182" s="17">
        <v>4.5651116736113898E-2</v>
      </c>
      <c r="G182" s="17">
        <v>6.9206427723300198E-2</v>
      </c>
      <c r="H182" s="17">
        <v>4.5884144532996697E-2</v>
      </c>
      <c r="I182" s="17">
        <v>8.1379201807777704E-2</v>
      </c>
      <c r="J182" s="17">
        <v>9.7821019624786495E-2</v>
      </c>
      <c r="K182" s="17">
        <v>7.7272716416065299E-2</v>
      </c>
      <c r="L182" s="17">
        <v>0.15138137208688901</v>
      </c>
      <c r="M182" s="17">
        <v>6.17463782323147E-2</v>
      </c>
      <c r="N182" s="17">
        <v>8.5750231866227503E-2</v>
      </c>
      <c r="O182" s="17">
        <v>0.123400966099096</v>
      </c>
      <c r="P182" s="17">
        <v>0.13222583237847799</v>
      </c>
      <c r="Q182" s="17">
        <v>6.3937528756203302E-2</v>
      </c>
      <c r="R182" s="17">
        <v>5.5414151037101698E-2</v>
      </c>
      <c r="S182" s="17">
        <v>7.1149802484563304E-2</v>
      </c>
      <c r="T182" s="17">
        <v>5.00403675371522E-2</v>
      </c>
      <c r="U182" s="17">
        <v>5.6703438835131299E-2</v>
      </c>
      <c r="V182" s="17">
        <v>6.5464084714524501E-2</v>
      </c>
      <c r="W182" s="17">
        <v>4.84538437567179E-2</v>
      </c>
      <c r="X182" s="17">
        <v>1.08806463939827</v>
      </c>
      <c r="Y182" s="17">
        <v>9.1524509720036798E-2</v>
      </c>
      <c r="Z182" s="17">
        <v>4.7896229629672098E-2</v>
      </c>
      <c r="AA182" s="17">
        <v>5.1590208275963501E-2</v>
      </c>
      <c r="AB182" s="17">
        <v>4.63444885503441E-2</v>
      </c>
      <c r="AC182" s="17">
        <v>5.4333258335152498E-2</v>
      </c>
      <c r="AD182" s="17">
        <v>4.7026466622641303E-2</v>
      </c>
      <c r="AE182" s="17">
        <v>6.9652668826201497E-2</v>
      </c>
      <c r="AF182" s="17">
        <v>2.23754446059907E-2</v>
      </c>
      <c r="AG182" s="17">
        <v>6.6953771225895006E-2</v>
      </c>
      <c r="AH182" s="17">
        <v>3.0224203745931998E-2</v>
      </c>
      <c r="AI182" s="17">
        <v>3.1542137545235799E-2</v>
      </c>
      <c r="AJ182" s="17">
        <v>2.4016568415886799E-2</v>
      </c>
      <c r="AK182" s="17">
        <v>2.00765682844255E-2</v>
      </c>
      <c r="AL182" s="17">
        <v>3.1747569189918903E-2</v>
      </c>
      <c r="AM182" s="17">
        <v>3.2055723156150497E-2</v>
      </c>
      <c r="AN182" s="17">
        <v>2.99231283114407E-2</v>
      </c>
      <c r="AO182" s="17">
        <v>3.8659165510400398E-2</v>
      </c>
      <c r="AP182" s="17">
        <v>4.3040008198256999E-2</v>
      </c>
      <c r="AQ182" s="17">
        <v>4.6704690873046802E-2</v>
      </c>
      <c r="AR182" s="17">
        <v>7.6777676133754302E-2</v>
      </c>
      <c r="AS182" s="17">
        <v>3.78637617115428E-2</v>
      </c>
      <c r="AT182" s="17">
        <v>0</v>
      </c>
    </row>
    <row r="183" spans="1:46" x14ac:dyDescent="0.3">
      <c r="A183" s="14" t="s">
        <v>77</v>
      </c>
      <c r="B183" s="17">
        <v>1.2339893294256299E-2</v>
      </c>
      <c r="C183" s="17">
        <v>1.14955024573232E-2</v>
      </c>
      <c r="D183" s="17">
        <v>9.0706846104553693E-3</v>
      </c>
      <c r="E183" s="17">
        <v>1.3108832723001101E-2</v>
      </c>
      <c r="F183" s="17">
        <v>1.73574172131057E-2</v>
      </c>
      <c r="G183" s="17">
        <v>1.63550877082013E-2</v>
      </c>
      <c r="H183" s="17">
        <v>1.0724584095871299E-2</v>
      </c>
      <c r="I183" s="17">
        <v>2.85578631960062E-2</v>
      </c>
      <c r="J183" s="17">
        <v>1.8269607034590799E-2</v>
      </c>
      <c r="K183" s="17">
        <v>1.3528805938149599E-2</v>
      </c>
      <c r="L183" s="17">
        <v>3.2137128922557399E-2</v>
      </c>
      <c r="M183" s="17">
        <v>1.92944642267837E-2</v>
      </c>
      <c r="N183" s="17">
        <v>1.8897569636334301E-2</v>
      </c>
      <c r="O183" s="17">
        <v>1.75032766395306E-2</v>
      </c>
      <c r="P183" s="17">
        <v>9.6876906916552499E-2</v>
      </c>
      <c r="Q183" s="17">
        <v>2.5662616337311199E-2</v>
      </c>
      <c r="R183" s="17">
        <v>1.35190584890858E-2</v>
      </c>
      <c r="S183" s="17">
        <v>2.5524085475067199E-2</v>
      </c>
      <c r="T183" s="17">
        <v>1.5751048601811798E-2</v>
      </c>
      <c r="U183" s="17">
        <v>1.57368140729395E-2</v>
      </c>
      <c r="V183" s="17">
        <v>1.9244184381707701E-2</v>
      </c>
      <c r="W183" s="17">
        <v>1.35021669058898E-2</v>
      </c>
      <c r="X183" s="17">
        <v>1.0300716424757101E-2</v>
      </c>
      <c r="Y183" s="17">
        <v>1.10406060361695</v>
      </c>
      <c r="Z183" s="17">
        <v>1.51777746416466E-2</v>
      </c>
      <c r="AA183" s="17">
        <v>1.29835081388556E-2</v>
      </c>
      <c r="AB183" s="17">
        <v>8.0740827205807806E-3</v>
      </c>
      <c r="AC183" s="17">
        <v>1.4480617991097899E-2</v>
      </c>
      <c r="AD183" s="17">
        <v>8.32689699789365E-3</v>
      </c>
      <c r="AE183" s="17">
        <v>7.1531871407839297E-3</v>
      </c>
      <c r="AF183" s="17">
        <v>4.0573428748932102E-3</v>
      </c>
      <c r="AG183" s="17">
        <v>1.5629399492458999E-2</v>
      </c>
      <c r="AH183" s="17">
        <v>6.0484441135824204E-3</v>
      </c>
      <c r="AI183" s="17">
        <v>4.8030839168372802E-3</v>
      </c>
      <c r="AJ183" s="17">
        <v>4.2226344789548301E-3</v>
      </c>
      <c r="AK183" s="17">
        <v>5.3560018412223799E-3</v>
      </c>
      <c r="AL183" s="17">
        <v>7.7911493586996297E-3</v>
      </c>
      <c r="AM183" s="17">
        <v>6.7782415102197501E-3</v>
      </c>
      <c r="AN183" s="17">
        <v>9.6712241183453899E-3</v>
      </c>
      <c r="AO183" s="17">
        <v>9.9605022476540895E-3</v>
      </c>
      <c r="AP183" s="17">
        <v>8.8637176937725499E-3</v>
      </c>
      <c r="AQ183" s="17">
        <v>1.55711575394634E-2</v>
      </c>
      <c r="AR183" s="17">
        <v>2.12014798384202E-2</v>
      </c>
      <c r="AS183" s="17">
        <v>1.2175712444355301E-2</v>
      </c>
      <c r="AT183" s="17">
        <v>0</v>
      </c>
    </row>
    <row r="184" spans="1:46" x14ac:dyDescent="0.3">
      <c r="A184" s="14" t="s">
        <v>78</v>
      </c>
      <c r="B184" s="17">
        <v>7.9647644350965292E-3</v>
      </c>
      <c r="C184" s="17">
        <v>1.1290006880372801E-2</v>
      </c>
      <c r="D184" s="17">
        <v>9.1731499592332798E-3</v>
      </c>
      <c r="E184" s="17">
        <v>2.27568836069851E-2</v>
      </c>
      <c r="F184" s="17">
        <v>2.0791948481182002E-2</v>
      </c>
      <c r="G184" s="17">
        <v>1.08134988738437E-2</v>
      </c>
      <c r="H184" s="17">
        <v>8.3986050364407792E-3</v>
      </c>
      <c r="I184" s="17">
        <v>1.1635331635758601E-2</v>
      </c>
      <c r="J184" s="17">
        <v>1.12835662001101E-2</v>
      </c>
      <c r="K184" s="17">
        <v>1.21327503121501E-2</v>
      </c>
      <c r="L184" s="17">
        <v>1.3252820016119601E-2</v>
      </c>
      <c r="M184" s="17">
        <v>7.8746183619646196E-3</v>
      </c>
      <c r="N184" s="17">
        <v>1.16957592378957E-2</v>
      </c>
      <c r="O184" s="17">
        <v>1.9002199906826001E-2</v>
      </c>
      <c r="P184" s="17">
        <v>1.42589175486111E-2</v>
      </c>
      <c r="Q184" s="17">
        <v>1.26969339306982E-2</v>
      </c>
      <c r="R184" s="17">
        <v>1.40895004667795E-2</v>
      </c>
      <c r="S184" s="17">
        <v>1.24081693974336E-2</v>
      </c>
      <c r="T184" s="17">
        <v>1.13301309308567E-2</v>
      </c>
      <c r="U184" s="17">
        <v>1.3385706646419899E-2</v>
      </c>
      <c r="V184" s="17">
        <v>1.28849543810037E-2</v>
      </c>
      <c r="W184" s="17">
        <v>1.1198937439484E-2</v>
      </c>
      <c r="X184" s="17">
        <v>2.1579568134145001E-2</v>
      </c>
      <c r="Y184" s="17">
        <v>2.3667233626772598E-2</v>
      </c>
      <c r="Z184" s="17">
        <v>1.0456659021584001</v>
      </c>
      <c r="AA184" s="17">
        <v>1.09064820650138E-2</v>
      </c>
      <c r="AB184" s="17">
        <v>1.51895917927091E-2</v>
      </c>
      <c r="AC184" s="17">
        <v>2.2165936572737702E-2</v>
      </c>
      <c r="AD184" s="17">
        <v>2.3971961738973001E-2</v>
      </c>
      <c r="AE184" s="17">
        <v>4.5595216468291899E-2</v>
      </c>
      <c r="AF184" s="17">
        <v>5.6047165754403499E-3</v>
      </c>
      <c r="AG184" s="17">
        <v>1.04530732706615E-2</v>
      </c>
      <c r="AH184" s="17">
        <v>8.2171937675983107E-3</v>
      </c>
      <c r="AI184" s="17">
        <v>1.1157656044935699E-2</v>
      </c>
      <c r="AJ184" s="17">
        <v>6.97793474235236E-3</v>
      </c>
      <c r="AK184" s="17">
        <v>7.1231079974501304E-3</v>
      </c>
      <c r="AL184" s="17">
        <v>2.2057586539421001E-2</v>
      </c>
      <c r="AM184" s="17">
        <v>1.1770062160145599E-2</v>
      </c>
      <c r="AN184" s="17">
        <v>8.5543489687166796E-3</v>
      </c>
      <c r="AO184" s="17">
        <v>2.0055608570400899E-2</v>
      </c>
      <c r="AP184" s="17">
        <v>1.13232239070644E-2</v>
      </c>
      <c r="AQ184" s="17">
        <v>9.3216295858380809E-3</v>
      </c>
      <c r="AR184" s="17">
        <v>1.7814305322387002E-2</v>
      </c>
      <c r="AS184" s="17">
        <v>1.23437458693521E-2</v>
      </c>
      <c r="AT184" s="17">
        <v>0</v>
      </c>
    </row>
    <row r="185" spans="1:46" x14ac:dyDescent="0.3">
      <c r="A185" s="14" t="s">
        <v>79</v>
      </c>
      <c r="B185" s="17">
        <v>0.193304524020671</v>
      </c>
      <c r="C185" s="17">
        <v>0.159900383908753</v>
      </c>
      <c r="D185" s="17">
        <v>8.31507599354257E-2</v>
      </c>
      <c r="E185" s="17">
        <v>0.11246694007533101</v>
      </c>
      <c r="F185" s="17">
        <v>0.110556497980451</v>
      </c>
      <c r="G185" s="17">
        <v>0.23080198979761801</v>
      </c>
      <c r="H185" s="17">
        <v>0.25800894880759601</v>
      </c>
      <c r="I185" s="17">
        <v>0.205768782582015</v>
      </c>
      <c r="J185" s="17">
        <v>0.21397284337539199</v>
      </c>
      <c r="K185" s="17">
        <v>0.16613072536555901</v>
      </c>
      <c r="L185" s="17">
        <v>0.23795897178907299</v>
      </c>
      <c r="M185" s="17">
        <v>0.154328016707347</v>
      </c>
      <c r="N185" s="17">
        <v>0.232464582844912</v>
      </c>
      <c r="O185" s="17">
        <v>0.165453945747641</v>
      </c>
      <c r="P185" s="17">
        <v>0.199173611694824</v>
      </c>
      <c r="Q185" s="17">
        <v>0.171818453546495</v>
      </c>
      <c r="R185" s="17">
        <v>0.33460096069893402</v>
      </c>
      <c r="S185" s="17">
        <v>0.23966928005838001</v>
      </c>
      <c r="T185" s="17">
        <v>0.16115396902172399</v>
      </c>
      <c r="U185" s="17">
        <v>0.239070000945937</v>
      </c>
      <c r="V185" s="17">
        <v>0.168583152624181</v>
      </c>
      <c r="W185" s="17">
        <v>0.185776800542784</v>
      </c>
      <c r="X185" s="17">
        <v>0.10727022262244</v>
      </c>
      <c r="Y185" s="17">
        <v>8.5597915312015299E-2</v>
      </c>
      <c r="Z185" s="17">
        <v>0.148566064283086</v>
      </c>
      <c r="AA185" s="17">
        <v>1.1257573647726</v>
      </c>
      <c r="AB185" s="17">
        <v>0.12145782615949501</v>
      </c>
      <c r="AC185" s="17">
        <v>0.17505603806867301</v>
      </c>
      <c r="AD185" s="17">
        <v>0.12196145228861301</v>
      </c>
      <c r="AE185" s="17">
        <v>7.7102900072302805E-2</v>
      </c>
      <c r="AF185" s="17">
        <v>6.3556082132068495E-2</v>
      </c>
      <c r="AG185" s="17">
        <v>0.179911699375393</v>
      </c>
      <c r="AH185" s="17">
        <v>7.5973938185773304E-2</v>
      </c>
      <c r="AI185" s="17">
        <v>5.65395443096346E-2</v>
      </c>
      <c r="AJ185" s="17">
        <v>5.6904974526853197E-2</v>
      </c>
      <c r="AK185" s="17">
        <v>4.6399754132922001E-2</v>
      </c>
      <c r="AL185" s="17">
        <v>4.7861370810753402E-2</v>
      </c>
      <c r="AM185" s="17">
        <v>6.11907037475369E-2</v>
      </c>
      <c r="AN185" s="17">
        <v>8.5087307803728196E-2</v>
      </c>
      <c r="AO185" s="17">
        <v>3.5473501673703799E-2</v>
      </c>
      <c r="AP185" s="17">
        <v>3.5978308014320497E-2</v>
      </c>
      <c r="AQ185" s="17">
        <v>0.10801406860806401</v>
      </c>
      <c r="AR185" s="17">
        <v>7.8800443899392406E-2</v>
      </c>
      <c r="AS185" s="17">
        <v>7.0358558606285496E-2</v>
      </c>
      <c r="AT185" s="17">
        <v>0</v>
      </c>
    </row>
    <row r="186" spans="1:46" x14ac:dyDescent="0.3">
      <c r="A186" s="14" t="s">
        <v>80</v>
      </c>
      <c r="B186" s="17">
        <v>4.3200247284172003E-2</v>
      </c>
      <c r="C186" s="17">
        <v>4.4890973115956197E-2</v>
      </c>
      <c r="D186" s="17">
        <v>7.0976703972568805E-2</v>
      </c>
      <c r="E186" s="17">
        <v>0.106476808256596</v>
      </c>
      <c r="F186" s="17">
        <v>7.4431953495754793E-2</v>
      </c>
      <c r="G186" s="17">
        <v>5.8512810691854301E-2</v>
      </c>
      <c r="H186" s="17">
        <v>4.3881412788975602E-2</v>
      </c>
      <c r="I186" s="17">
        <v>5.2952179926119398E-2</v>
      </c>
      <c r="J186" s="17">
        <v>5.6423536000266797E-2</v>
      </c>
      <c r="K186" s="17">
        <v>6.3928472868001504E-2</v>
      </c>
      <c r="L186" s="17">
        <v>6.2945022866698203E-2</v>
      </c>
      <c r="M186" s="17">
        <v>3.1410900093334401E-2</v>
      </c>
      <c r="N186" s="17">
        <v>5.3579184254107397E-2</v>
      </c>
      <c r="O186" s="17">
        <v>8.1122607160315802E-2</v>
      </c>
      <c r="P186" s="17">
        <v>8.1736682205819006E-2</v>
      </c>
      <c r="Q186" s="17">
        <v>5.3411403827142399E-2</v>
      </c>
      <c r="R186" s="17">
        <v>6.7228141498237304E-2</v>
      </c>
      <c r="S186" s="17">
        <v>6.1692029939918999E-2</v>
      </c>
      <c r="T186" s="17">
        <v>4.5085846513833898E-2</v>
      </c>
      <c r="U186" s="17">
        <v>5.4965550831677402E-2</v>
      </c>
      <c r="V186" s="17">
        <v>4.6926516164565599E-2</v>
      </c>
      <c r="W186" s="17">
        <v>4.40310095081963E-2</v>
      </c>
      <c r="X186" s="17">
        <v>7.0208391329578401E-2</v>
      </c>
      <c r="Y186" s="17">
        <v>3.6459387418726702E-2</v>
      </c>
      <c r="Z186" s="17">
        <v>5.6725833255181497E-2</v>
      </c>
      <c r="AA186" s="17">
        <v>5.8742924537495002E-2</v>
      </c>
      <c r="AB186" s="17">
        <v>1.0398314052723301</v>
      </c>
      <c r="AC186" s="17">
        <v>5.8914752672549399E-2</v>
      </c>
      <c r="AD186" s="17">
        <v>4.3352238147065701E-2</v>
      </c>
      <c r="AE186" s="17">
        <v>2.54030467403587E-2</v>
      </c>
      <c r="AF186" s="17">
        <v>2.6976786020716102E-2</v>
      </c>
      <c r="AG186" s="17">
        <v>3.68403793112159E-2</v>
      </c>
      <c r="AH186" s="17">
        <v>2.1896348226103299E-2</v>
      </c>
      <c r="AI186" s="17">
        <v>1.8617375934229501E-2</v>
      </c>
      <c r="AJ186" s="17">
        <v>1.5611128071007299E-2</v>
      </c>
      <c r="AK186" s="17">
        <v>1.3184845381597299E-2</v>
      </c>
      <c r="AL186" s="17">
        <v>1.46910631560796E-2</v>
      </c>
      <c r="AM186" s="17">
        <v>1.9747392261305698E-2</v>
      </c>
      <c r="AN186" s="17">
        <v>3.5908874125387298E-2</v>
      </c>
      <c r="AO186" s="17">
        <v>1.35057212401174E-2</v>
      </c>
      <c r="AP186" s="17">
        <v>1.31004689272647E-2</v>
      </c>
      <c r="AQ186" s="17">
        <v>2.2258342519962299E-2</v>
      </c>
      <c r="AR186" s="17">
        <v>2.74241911906031E-2</v>
      </c>
      <c r="AS186" s="17">
        <v>2.4306786832856701E-2</v>
      </c>
      <c r="AT186" s="17">
        <v>0</v>
      </c>
    </row>
    <row r="187" spans="1:46" x14ac:dyDescent="0.3">
      <c r="A187" s="14" t="s">
        <v>81</v>
      </c>
      <c r="B187" s="17">
        <v>9.0573351715943305E-4</v>
      </c>
      <c r="C187" s="17">
        <v>5.0284199005923096E-4</v>
      </c>
      <c r="D187" s="17">
        <v>4.3324022489321402E-4</v>
      </c>
      <c r="E187" s="17">
        <v>8.6007284948904099E-4</v>
      </c>
      <c r="F187" s="17">
        <v>9.6445026812712103E-4</v>
      </c>
      <c r="G187" s="17">
        <v>1.0733856345238699E-3</v>
      </c>
      <c r="H187" s="17">
        <v>1.23363259356391E-3</v>
      </c>
      <c r="I187" s="17">
        <v>1.2885129404734701E-3</v>
      </c>
      <c r="J187" s="17">
        <v>1.0849849878878199E-3</v>
      </c>
      <c r="K187" s="17">
        <v>2.3212860430583599E-3</v>
      </c>
      <c r="L187" s="17">
        <v>1.83595860990727E-3</v>
      </c>
      <c r="M187" s="17">
        <v>7.5695958679988698E-4</v>
      </c>
      <c r="N187" s="17">
        <v>1.36458400585233E-3</v>
      </c>
      <c r="O187" s="17">
        <v>1.4367047834207901E-3</v>
      </c>
      <c r="P187" s="17">
        <v>2.1052149392827698E-3</v>
      </c>
      <c r="Q187" s="17">
        <v>1.2639980054752701E-3</v>
      </c>
      <c r="R187" s="17">
        <v>2.2249131524690901E-3</v>
      </c>
      <c r="S187" s="17">
        <v>1.8048445124209101E-3</v>
      </c>
      <c r="T187" s="17">
        <v>1.0277243317304301E-3</v>
      </c>
      <c r="U187" s="17">
        <v>1.7705351823034401E-3</v>
      </c>
      <c r="V187" s="17">
        <v>2.77230851183722E-3</v>
      </c>
      <c r="W187" s="17">
        <v>1.1224772268203899E-3</v>
      </c>
      <c r="X187" s="17">
        <v>8.1250513087332405E-4</v>
      </c>
      <c r="Y187" s="17">
        <v>5.6034503213150998E-4</v>
      </c>
      <c r="Z187" s="17">
        <v>1.0605621265282301E-3</v>
      </c>
      <c r="AA187" s="17">
        <v>1.06073355989689E-3</v>
      </c>
      <c r="AB187" s="17">
        <v>1.2602000182136801E-3</v>
      </c>
      <c r="AC187" s="17">
        <v>1.0044098984613701</v>
      </c>
      <c r="AD187" s="17">
        <v>2.13952176818897E-3</v>
      </c>
      <c r="AE187" s="17">
        <v>1.4894381727278601E-3</v>
      </c>
      <c r="AF187" s="17">
        <v>3.1956618400912599E-4</v>
      </c>
      <c r="AG187" s="17">
        <v>7.1783165548156295E-4</v>
      </c>
      <c r="AH187" s="17">
        <v>3.9981438535819101E-4</v>
      </c>
      <c r="AI187" s="17">
        <v>3.18611260745261E-4</v>
      </c>
      <c r="AJ187" s="17">
        <v>3.0461273744897803E-4</v>
      </c>
      <c r="AK187" s="17">
        <v>2.4671152420896599E-4</v>
      </c>
      <c r="AL187" s="17">
        <v>2.9628432462476301E-4</v>
      </c>
      <c r="AM187" s="17">
        <v>3.6721122065747102E-4</v>
      </c>
      <c r="AN187" s="17">
        <v>9.8836877325680309E-4</v>
      </c>
      <c r="AO187" s="17">
        <v>2.44903121709927E-4</v>
      </c>
      <c r="AP187" s="17">
        <v>2.1137632558035599E-4</v>
      </c>
      <c r="AQ187" s="17">
        <v>5.0400922218173604E-4</v>
      </c>
      <c r="AR187" s="17">
        <v>5.8358943106661797E-4</v>
      </c>
      <c r="AS187" s="17">
        <v>3.9849464620382E-4</v>
      </c>
      <c r="AT187" s="17">
        <v>0</v>
      </c>
    </row>
    <row r="188" spans="1:46" x14ac:dyDescent="0.3">
      <c r="A188" s="14" t="s">
        <v>82</v>
      </c>
      <c r="B188" s="17">
        <v>2.3368528519655302E-3</v>
      </c>
      <c r="C188" s="17">
        <v>1.49908880447099E-3</v>
      </c>
      <c r="D188" s="17">
        <v>2.3607378814204001E-3</v>
      </c>
      <c r="E188" s="17">
        <v>2.6732132195094599E-3</v>
      </c>
      <c r="F188" s="17">
        <v>3.1448855466949099E-3</v>
      </c>
      <c r="G188" s="17">
        <v>3.11187736299235E-3</v>
      </c>
      <c r="H188" s="17">
        <v>3.1978012473991499E-3</v>
      </c>
      <c r="I188" s="17">
        <v>3.2561929773230898E-3</v>
      </c>
      <c r="J188" s="17">
        <v>3.34987577649801E-3</v>
      </c>
      <c r="K188" s="17">
        <v>3.8226697752776098E-3</v>
      </c>
      <c r="L188" s="17">
        <v>3.79304898095816E-3</v>
      </c>
      <c r="M188" s="17">
        <v>3.0703796029894299E-3</v>
      </c>
      <c r="N188" s="17">
        <v>3.6860592665591998E-3</v>
      </c>
      <c r="O188" s="17">
        <v>3.2888250991614599E-3</v>
      </c>
      <c r="P188" s="17">
        <v>4.1999131732492201E-3</v>
      </c>
      <c r="Q188" s="17">
        <v>3.53269053574286E-3</v>
      </c>
      <c r="R188" s="17">
        <v>6.6756589557709503E-3</v>
      </c>
      <c r="S188" s="17">
        <v>4.9583507203289998E-3</v>
      </c>
      <c r="T188" s="17">
        <v>2.9884131566123E-3</v>
      </c>
      <c r="U188" s="17">
        <v>3.9359189099519402E-3</v>
      </c>
      <c r="V188" s="17">
        <v>4.11395453544325E-3</v>
      </c>
      <c r="W188" s="17">
        <v>3.3353440756506902E-3</v>
      </c>
      <c r="X188" s="17">
        <v>2.6612578842987E-3</v>
      </c>
      <c r="Y188" s="17">
        <v>1.97350391918072E-3</v>
      </c>
      <c r="Z188" s="17">
        <v>3.0317569916601598E-3</v>
      </c>
      <c r="AA188" s="17">
        <v>2.7719621175090999E-3</v>
      </c>
      <c r="AB188" s="17">
        <v>3.1000244478178699E-3</v>
      </c>
      <c r="AC188" s="17">
        <v>3.82035060737272E-3</v>
      </c>
      <c r="AD188" s="17">
        <v>1.0160411982406401</v>
      </c>
      <c r="AE188" s="17">
        <v>2.36394951907129E-3</v>
      </c>
      <c r="AF188" s="17">
        <v>3.45709063020929E-3</v>
      </c>
      <c r="AG188" s="17">
        <v>2.5696733815408299E-3</v>
      </c>
      <c r="AH188" s="17">
        <v>1.93789471408225E-3</v>
      </c>
      <c r="AI188" s="17">
        <v>1.5431434440236101E-3</v>
      </c>
      <c r="AJ188" s="17">
        <v>2.3994227442024202E-3</v>
      </c>
      <c r="AK188" s="17">
        <v>1.47664962764177E-3</v>
      </c>
      <c r="AL188" s="17">
        <v>1.34522397381869E-3</v>
      </c>
      <c r="AM188" s="17">
        <v>2.8084276734753701E-3</v>
      </c>
      <c r="AN188" s="17">
        <v>9.7157877747692401E-3</v>
      </c>
      <c r="AO188" s="17">
        <v>1.38840409358585E-3</v>
      </c>
      <c r="AP188" s="17">
        <v>1.3357861305825099E-3</v>
      </c>
      <c r="AQ188" s="17">
        <v>1.7299977327415101E-3</v>
      </c>
      <c r="AR188" s="17">
        <v>2.6337198635927898E-3</v>
      </c>
      <c r="AS188" s="17">
        <v>1.8788733503586699E-3</v>
      </c>
      <c r="AT188" s="17">
        <v>0</v>
      </c>
    </row>
    <row r="189" spans="1:46" x14ac:dyDescent="0.3">
      <c r="A189" s="14" t="s">
        <v>83</v>
      </c>
      <c r="B189" s="17">
        <v>2.4976129483540301E-2</v>
      </c>
      <c r="C189" s="17">
        <v>2.5884538967491499E-2</v>
      </c>
      <c r="D189" s="17">
        <v>1.96286970928795E-2</v>
      </c>
      <c r="E189" s="17">
        <v>3.5945777261066E-2</v>
      </c>
      <c r="F189" s="17">
        <v>2.41681150210372E-2</v>
      </c>
      <c r="G189" s="17">
        <v>3.5357417195541703E-2</v>
      </c>
      <c r="H189" s="17">
        <v>2.3046506966041401E-2</v>
      </c>
      <c r="I189" s="17">
        <v>2.8394520812991798E-2</v>
      </c>
      <c r="J189" s="17">
        <v>2.8341050482775101E-2</v>
      </c>
      <c r="K189" s="17">
        <v>3.19671990345596E-2</v>
      </c>
      <c r="L189" s="17">
        <v>2.9845608704191302E-2</v>
      </c>
      <c r="M189" s="17">
        <v>1.6169854437851201E-2</v>
      </c>
      <c r="N189" s="17">
        <v>2.8623478931547701E-2</v>
      </c>
      <c r="O189" s="17">
        <v>4.0305760415279598E-2</v>
      </c>
      <c r="P189" s="17">
        <v>3.1599653134584703E-2</v>
      </c>
      <c r="Q189" s="17">
        <v>2.57762338434771E-2</v>
      </c>
      <c r="R189" s="17">
        <v>3.8307058295464998E-2</v>
      </c>
      <c r="S189" s="17">
        <v>2.9039877975101401E-2</v>
      </c>
      <c r="T189" s="17">
        <v>2.0946967157326201E-2</v>
      </c>
      <c r="U189" s="17">
        <v>2.6966626240462001E-2</v>
      </c>
      <c r="V189" s="17">
        <v>2.4455807974387699E-2</v>
      </c>
      <c r="W189" s="17">
        <v>2.3724818935468201E-2</v>
      </c>
      <c r="X189" s="17">
        <v>3.1293574145810701E-2</v>
      </c>
      <c r="Y189" s="17">
        <v>2.1176767074944099E-2</v>
      </c>
      <c r="Z189" s="17">
        <v>3.1471999261355403E-2</v>
      </c>
      <c r="AA189" s="17">
        <v>3.7332134186349002E-2</v>
      </c>
      <c r="AB189" s="17">
        <v>0.14799801203545099</v>
      </c>
      <c r="AC189" s="17">
        <v>0.17614463152625101</v>
      </c>
      <c r="AD189" s="17">
        <v>0.35101984288847499</v>
      </c>
      <c r="AE189" s="17">
        <v>1.0520317309910401</v>
      </c>
      <c r="AF189" s="17">
        <v>2.0796876647688201E-2</v>
      </c>
      <c r="AG189" s="17">
        <v>2.1226984027848599E-2</v>
      </c>
      <c r="AH189" s="17">
        <v>1.3789198646138E-2</v>
      </c>
      <c r="AI189" s="17">
        <v>1.16815179722449E-2</v>
      </c>
      <c r="AJ189" s="17">
        <v>9.68243882473265E-3</v>
      </c>
      <c r="AK189" s="17">
        <v>7.3246055373408399E-3</v>
      </c>
      <c r="AL189" s="17">
        <v>8.5248522297079292E-3</v>
      </c>
      <c r="AM189" s="17">
        <v>1.1784707115278299E-2</v>
      </c>
      <c r="AN189" s="17">
        <v>1.8803186464838199E-2</v>
      </c>
      <c r="AO189" s="17">
        <v>1.8523577207581E-2</v>
      </c>
      <c r="AP189" s="17">
        <v>6.5619085147707104E-3</v>
      </c>
      <c r="AQ189" s="17">
        <v>1.16995215187036E-2</v>
      </c>
      <c r="AR189" s="17">
        <v>1.6295798302431899E-2</v>
      </c>
      <c r="AS189" s="17">
        <v>1.6719445409131901E-2</v>
      </c>
      <c r="AT189" s="17">
        <v>0</v>
      </c>
    </row>
    <row r="190" spans="1:46" x14ac:dyDescent="0.3">
      <c r="A190" s="14" t="s">
        <v>84</v>
      </c>
      <c r="B190" s="17">
        <v>5.8432287429504197E-3</v>
      </c>
      <c r="C190" s="17">
        <v>6.7729568250373597E-3</v>
      </c>
      <c r="D190" s="17">
        <v>4.0129049558828098E-3</v>
      </c>
      <c r="E190" s="17">
        <v>5.96196803129869E-3</v>
      </c>
      <c r="F190" s="17">
        <v>5.3219329532081501E-3</v>
      </c>
      <c r="G190" s="17">
        <v>6.6857412861783703E-3</v>
      </c>
      <c r="H190" s="17">
        <v>5.4846109596176701E-3</v>
      </c>
      <c r="I190" s="17">
        <v>6.13058052133327E-3</v>
      </c>
      <c r="J190" s="17">
        <v>6.5076973024410199E-3</v>
      </c>
      <c r="K190" s="17">
        <v>4.58010497647397E-3</v>
      </c>
      <c r="L190" s="17">
        <v>6.9363800762971698E-3</v>
      </c>
      <c r="M190" s="17">
        <v>6.2498608782278102E-3</v>
      </c>
      <c r="N190" s="17">
        <v>6.27785191056374E-3</v>
      </c>
      <c r="O190" s="17">
        <v>5.99978900528519E-3</v>
      </c>
      <c r="P190" s="17">
        <v>5.8398056705274096E-3</v>
      </c>
      <c r="Q190" s="17">
        <v>5.4402496270910504E-3</v>
      </c>
      <c r="R190" s="17">
        <v>6.3762642173953599E-3</v>
      </c>
      <c r="S190" s="17">
        <v>5.7632865330993297E-3</v>
      </c>
      <c r="T190" s="17">
        <v>4.4682490071045102E-3</v>
      </c>
      <c r="U190" s="17">
        <v>5.3597255995181999E-3</v>
      </c>
      <c r="V190" s="17">
        <v>5.1376722416613301E-3</v>
      </c>
      <c r="W190" s="17">
        <v>5.32610774735432E-3</v>
      </c>
      <c r="X190" s="17">
        <v>6.4448992788031104E-3</v>
      </c>
      <c r="Y190" s="17">
        <v>8.0428588656832507E-3</v>
      </c>
      <c r="Z190" s="17">
        <v>6.3110302211299403E-3</v>
      </c>
      <c r="AA190" s="17">
        <v>8.7777802910957593E-3</v>
      </c>
      <c r="AB190" s="17">
        <v>6.5890974347223201E-3</v>
      </c>
      <c r="AC190" s="17">
        <v>9.1975655856092499E-3</v>
      </c>
      <c r="AD190" s="17">
        <v>9.9475057035306406E-3</v>
      </c>
      <c r="AE190" s="17">
        <v>8.1165493719462696E-3</v>
      </c>
      <c r="AF190" s="17">
        <v>1.0698410926880699</v>
      </c>
      <c r="AG190" s="17">
        <v>7.1927596141996598E-3</v>
      </c>
      <c r="AH190" s="17">
        <v>1.95232232833372E-2</v>
      </c>
      <c r="AI190" s="17">
        <v>1.54617012847413E-2</v>
      </c>
      <c r="AJ190" s="17">
        <v>5.0608088224114896E-3</v>
      </c>
      <c r="AK190" s="17">
        <v>2.4118288595969501E-2</v>
      </c>
      <c r="AL190" s="17">
        <v>8.2913718403820197E-3</v>
      </c>
      <c r="AM190" s="17">
        <v>7.3467891278530097E-3</v>
      </c>
      <c r="AN190" s="17">
        <v>7.3226453466709298E-3</v>
      </c>
      <c r="AO190" s="17">
        <v>1.7418167736878602E-2</v>
      </c>
      <c r="AP190" s="17">
        <v>5.98903978960266E-3</v>
      </c>
      <c r="AQ190" s="17">
        <v>7.8698563771314595E-3</v>
      </c>
      <c r="AR190" s="17">
        <v>1.52211367715267E-2</v>
      </c>
      <c r="AS190" s="17">
        <v>9.6479750662419993E-3</v>
      </c>
      <c r="AT190" s="17">
        <v>0</v>
      </c>
    </row>
    <row r="191" spans="1:46" x14ac:dyDescent="0.3">
      <c r="A191" s="14" t="s">
        <v>85</v>
      </c>
      <c r="B191" s="17">
        <v>2.4233500541361898E-3</v>
      </c>
      <c r="C191" s="17">
        <v>2.65219716179394E-3</v>
      </c>
      <c r="D191" s="17">
        <v>3.3991313275849901E-3</v>
      </c>
      <c r="E191" s="17">
        <v>3.3231694788360901E-3</v>
      </c>
      <c r="F191" s="17">
        <v>4.4692577612545897E-3</v>
      </c>
      <c r="G191" s="17">
        <v>3.8190449921290102E-3</v>
      </c>
      <c r="H191" s="17">
        <v>3.2929563708734601E-3</v>
      </c>
      <c r="I191" s="17">
        <v>3.6278461673750302E-3</v>
      </c>
      <c r="J191" s="17">
        <v>4.2794174169971501E-3</v>
      </c>
      <c r="K191" s="17">
        <v>2.8070367667829901E-3</v>
      </c>
      <c r="L191" s="17">
        <v>3.7604207826689201E-3</v>
      </c>
      <c r="M191" s="17">
        <v>4.5696535863581304E-3</v>
      </c>
      <c r="N191" s="17">
        <v>4.0023204842776798E-3</v>
      </c>
      <c r="O191" s="17">
        <v>3.7864851260646501E-3</v>
      </c>
      <c r="P191" s="17">
        <v>4.3731010962821696E-3</v>
      </c>
      <c r="Q191" s="17">
        <v>3.9788612261993997E-3</v>
      </c>
      <c r="R191" s="17">
        <v>6.0934479818398899E-3</v>
      </c>
      <c r="S191" s="17">
        <v>4.7014863949090199E-3</v>
      </c>
      <c r="T191" s="17">
        <v>3.7266124641088302E-3</v>
      </c>
      <c r="U191" s="17">
        <v>4.2466952489797804E-3</v>
      </c>
      <c r="V191" s="17">
        <v>4.5065822427219496E-3</v>
      </c>
      <c r="W191" s="17">
        <v>3.7796471804368002E-3</v>
      </c>
      <c r="X191" s="17">
        <v>3.3567515406632701E-3</v>
      </c>
      <c r="Y191" s="17">
        <v>2.8508374021081599E-3</v>
      </c>
      <c r="Z191" s="17">
        <v>4.0147710437940997E-3</v>
      </c>
      <c r="AA191" s="17">
        <v>5.2843833174399599E-3</v>
      </c>
      <c r="AB191" s="17">
        <v>3.86927680474253E-3</v>
      </c>
      <c r="AC191" s="17">
        <v>5.1123133046056604E-3</v>
      </c>
      <c r="AD191" s="17">
        <v>8.6325362733877097E-3</v>
      </c>
      <c r="AE191" s="17">
        <v>3.9535359529096203E-3</v>
      </c>
      <c r="AF191" s="17">
        <v>2.6851450532939698E-3</v>
      </c>
      <c r="AG191" s="17">
        <v>1.03439980701273</v>
      </c>
      <c r="AH191" s="17">
        <v>3.4893274237703499E-3</v>
      </c>
      <c r="AI191" s="17">
        <v>3.3421851567428302E-3</v>
      </c>
      <c r="AJ191" s="17">
        <v>5.6910404853218501E-3</v>
      </c>
      <c r="AK191" s="17">
        <v>4.5042066627267504E-3</v>
      </c>
      <c r="AL191" s="17">
        <v>2.4483679642338398E-3</v>
      </c>
      <c r="AM191" s="17">
        <v>6.7619070988329298E-3</v>
      </c>
      <c r="AN191" s="17">
        <v>3.5777145971133198E-2</v>
      </c>
      <c r="AO191" s="17">
        <v>6.1824246294710601E-3</v>
      </c>
      <c r="AP191" s="17">
        <v>4.3439851911740599E-3</v>
      </c>
      <c r="AQ191" s="17">
        <v>1.1722450717125301E-2</v>
      </c>
      <c r="AR191" s="17">
        <v>8.2739750933220006E-3</v>
      </c>
      <c r="AS191" s="17">
        <v>1.7199811982068901E-2</v>
      </c>
      <c r="AT191" s="17">
        <v>0</v>
      </c>
    </row>
    <row r="192" spans="1:46" x14ac:dyDescent="0.3">
      <c r="A192" s="14" t="s">
        <v>86</v>
      </c>
      <c r="B192" s="17">
        <v>8.4894657110062104E-3</v>
      </c>
      <c r="C192" s="17">
        <v>1.0160939971035199E-2</v>
      </c>
      <c r="D192" s="17">
        <v>5.0236241276715001E-3</v>
      </c>
      <c r="E192" s="17">
        <v>8.5532492022574493E-3</v>
      </c>
      <c r="F192" s="17">
        <v>8.8665636735199196E-3</v>
      </c>
      <c r="G192" s="17">
        <v>1.9019625753116502E-2</v>
      </c>
      <c r="H192" s="17">
        <v>9.4377948501693492E-3</v>
      </c>
      <c r="I192" s="17">
        <v>1.0892369259429401E-2</v>
      </c>
      <c r="J192" s="17">
        <v>1.6430964596814101E-2</v>
      </c>
      <c r="K192" s="17">
        <v>7.0872139666024502E-3</v>
      </c>
      <c r="L192" s="17">
        <v>1.25211754879001E-2</v>
      </c>
      <c r="M192" s="17">
        <v>2.2945353506099699E-2</v>
      </c>
      <c r="N192" s="17">
        <v>1.5014864821208101E-2</v>
      </c>
      <c r="O192" s="17">
        <v>9.8477633674118794E-3</v>
      </c>
      <c r="P192" s="17">
        <v>8.7680618788855396E-3</v>
      </c>
      <c r="Q192" s="17">
        <v>9.3095887053859499E-3</v>
      </c>
      <c r="R192" s="17">
        <v>1.85509717360599E-2</v>
      </c>
      <c r="S192" s="17">
        <v>1.27239429661052E-2</v>
      </c>
      <c r="T192" s="17">
        <v>7.8759306770477596E-3</v>
      </c>
      <c r="U192" s="17">
        <v>1.17047593865423E-2</v>
      </c>
      <c r="V192" s="17">
        <v>8.8076753332688301E-3</v>
      </c>
      <c r="W192" s="17">
        <v>1.0594213313099499E-2</v>
      </c>
      <c r="X192" s="17">
        <v>7.7854817512139204E-3</v>
      </c>
      <c r="Y192" s="17">
        <v>8.6783708735015397E-3</v>
      </c>
      <c r="Z192" s="17">
        <v>9.2350057310918703E-3</v>
      </c>
      <c r="AA192" s="17">
        <v>1.9854326281866501E-2</v>
      </c>
      <c r="AB192" s="17">
        <v>8.3735517406083801E-3</v>
      </c>
      <c r="AC192" s="17">
        <v>1.29278257039236E-2</v>
      </c>
      <c r="AD192" s="17">
        <v>1.2381828455768301E-2</v>
      </c>
      <c r="AE192" s="17">
        <v>7.9492699640550894E-3</v>
      </c>
      <c r="AF192" s="17">
        <v>1.0817533158795399E-2</v>
      </c>
      <c r="AG192" s="17">
        <v>1.6522198309251501E-2</v>
      </c>
      <c r="AH192" s="17">
        <v>1.2647649613696901</v>
      </c>
      <c r="AI192" s="17">
        <v>3.6645785633774498E-2</v>
      </c>
      <c r="AJ192" s="17">
        <v>1.1056482313761599E-2</v>
      </c>
      <c r="AK192" s="17">
        <v>9.6703390064739499E-3</v>
      </c>
      <c r="AL192" s="17">
        <v>8.6666885441640494E-3</v>
      </c>
      <c r="AM192" s="17">
        <v>2.2303045914558998E-2</v>
      </c>
      <c r="AN192" s="17">
        <v>2.47441093269226E-2</v>
      </c>
      <c r="AO192" s="17">
        <v>6.1166083819584501E-3</v>
      </c>
      <c r="AP192" s="17">
        <v>2.0913460910092101E-2</v>
      </c>
      <c r="AQ192" s="17">
        <v>7.7515540135131202E-3</v>
      </c>
      <c r="AR192" s="17">
        <v>5.8501344774953501E-2</v>
      </c>
      <c r="AS192" s="17">
        <v>3.9060602486939197E-2</v>
      </c>
      <c r="AT192" s="17">
        <v>0</v>
      </c>
    </row>
    <row r="193" spans="1:46" x14ac:dyDescent="0.3">
      <c r="A193" s="14" t="s">
        <v>87</v>
      </c>
      <c r="B193" s="17">
        <v>9.6530747650860095E-3</v>
      </c>
      <c r="C193" s="17">
        <v>1.9870424628920299E-2</v>
      </c>
      <c r="D193" s="17">
        <v>8.1233865674289196E-3</v>
      </c>
      <c r="E193" s="17">
        <v>1.1756398161039801E-2</v>
      </c>
      <c r="F193" s="17">
        <v>1.19916314866779E-2</v>
      </c>
      <c r="G193" s="17">
        <v>1.38278612471931E-2</v>
      </c>
      <c r="H193" s="17">
        <v>1.17664819997982E-2</v>
      </c>
      <c r="I193" s="17">
        <v>1.46297824138028E-2</v>
      </c>
      <c r="J193" s="17">
        <v>1.4892788529949101E-2</v>
      </c>
      <c r="K193" s="17">
        <v>1.02101963422168E-2</v>
      </c>
      <c r="L193" s="17">
        <v>1.2873945665406099E-2</v>
      </c>
      <c r="M193" s="17">
        <v>1.0508407019873401E-2</v>
      </c>
      <c r="N193" s="17">
        <v>1.36300749701329E-2</v>
      </c>
      <c r="O193" s="17">
        <v>1.3208409929031001E-2</v>
      </c>
      <c r="P193" s="17">
        <v>1.27774578772159E-2</v>
      </c>
      <c r="Q193" s="17">
        <v>1.2447899332783599E-2</v>
      </c>
      <c r="R193" s="17">
        <v>1.68133734949855E-2</v>
      </c>
      <c r="S193" s="17">
        <v>1.3892301671554899E-2</v>
      </c>
      <c r="T193" s="17">
        <v>1.15128789942109E-2</v>
      </c>
      <c r="U193" s="17">
        <v>1.2554103898767001E-2</v>
      </c>
      <c r="V193" s="17">
        <v>1.29537393052795E-2</v>
      </c>
      <c r="W193" s="17">
        <v>1.28438274707002E-2</v>
      </c>
      <c r="X193" s="17">
        <v>1.00998450761233E-2</v>
      </c>
      <c r="Y193" s="17">
        <v>1.5040076169296901E-2</v>
      </c>
      <c r="Z193" s="17">
        <v>1.56799436897621E-2</v>
      </c>
      <c r="AA193" s="17">
        <v>2.0072832609675802E-2</v>
      </c>
      <c r="AB193" s="17">
        <v>1.7650802647107701E-2</v>
      </c>
      <c r="AC193" s="17">
        <v>1.95809575792005E-2</v>
      </c>
      <c r="AD193" s="17">
        <v>1.5912427064851901E-2</v>
      </c>
      <c r="AE193" s="17">
        <v>1.42129934459509E-2</v>
      </c>
      <c r="AF193" s="17">
        <v>1.5317792571199E-2</v>
      </c>
      <c r="AG193" s="17">
        <v>1.4322250764678499E-2</v>
      </c>
      <c r="AH193" s="17">
        <v>3.92862978268749E-2</v>
      </c>
      <c r="AI193" s="17">
        <v>1.0440203963797601</v>
      </c>
      <c r="AJ193" s="17">
        <v>2.56969628715456E-2</v>
      </c>
      <c r="AK193" s="17">
        <v>1.9088429653976901E-2</v>
      </c>
      <c r="AL193" s="17">
        <v>9.4101581363675007E-3</v>
      </c>
      <c r="AM193" s="17">
        <v>1.9838385009299998E-2</v>
      </c>
      <c r="AN193" s="17">
        <v>1.8167141016289301E-2</v>
      </c>
      <c r="AO193" s="17">
        <v>1.5366416936645699E-2</v>
      </c>
      <c r="AP193" s="17">
        <v>1.31715173079E-2</v>
      </c>
      <c r="AQ193" s="17">
        <v>1.5689244099767002E-2</v>
      </c>
      <c r="AR193" s="17">
        <v>3.7929934188249498E-2</v>
      </c>
      <c r="AS193" s="17">
        <v>2.6377642284566499E-2</v>
      </c>
      <c r="AT193" s="17">
        <v>0</v>
      </c>
    </row>
    <row r="194" spans="1:46" x14ac:dyDescent="0.3">
      <c r="A194" s="14" t="s">
        <v>88</v>
      </c>
      <c r="B194" s="17">
        <v>1.80923853433336E-2</v>
      </c>
      <c r="C194" s="17">
        <v>2.1694809306416301E-2</v>
      </c>
      <c r="D194" s="17">
        <v>1.52376583538303E-2</v>
      </c>
      <c r="E194" s="17">
        <v>2.1841994109281698E-2</v>
      </c>
      <c r="F194" s="17">
        <v>3.78402462260818E-2</v>
      </c>
      <c r="G194" s="17">
        <v>3.0432642183005499E-2</v>
      </c>
      <c r="H194" s="17">
        <v>1.9386320157731299E-2</v>
      </c>
      <c r="I194" s="17">
        <v>2.19771028896577E-2</v>
      </c>
      <c r="J194" s="17">
        <v>2.6289424615242901E-2</v>
      </c>
      <c r="K194" s="17">
        <v>1.7547227078127701E-2</v>
      </c>
      <c r="L194" s="17">
        <v>2.58048372796898E-2</v>
      </c>
      <c r="M194" s="17">
        <v>2.03819335118904E-2</v>
      </c>
      <c r="N194" s="17">
        <v>2.5640555540774702E-2</v>
      </c>
      <c r="O194" s="17">
        <v>2.4761780990961501E-2</v>
      </c>
      <c r="P194" s="17">
        <v>3.0840728089482398E-2</v>
      </c>
      <c r="Q194" s="17">
        <v>2.35735531825647E-2</v>
      </c>
      <c r="R194" s="17">
        <v>6.7676509642916202E-2</v>
      </c>
      <c r="S194" s="17">
        <v>3.5813043303285698E-2</v>
      </c>
      <c r="T194" s="17">
        <v>2.07790394542226E-2</v>
      </c>
      <c r="U194" s="17">
        <v>2.8326669795571802E-2</v>
      </c>
      <c r="V194" s="17">
        <v>2.4147633321825301E-2</v>
      </c>
      <c r="W194" s="17">
        <v>2.5195756792690802E-2</v>
      </c>
      <c r="X194" s="17">
        <v>3.2264628059015997E-2</v>
      </c>
      <c r="Y194" s="17">
        <v>3.1548292656286898E-2</v>
      </c>
      <c r="Z194" s="17">
        <v>2.63356897454653E-2</v>
      </c>
      <c r="AA194" s="17">
        <v>4.03006394477766E-2</v>
      </c>
      <c r="AB194" s="17">
        <v>2.9886616951460498E-2</v>
      </c>
      <c r="AC194" s="17">
        <v>3.00656904584117E-2</v>
      </c>
      <c r="AD194" s="17">
        <v>4.93664836972353E-2</v>
      </c>
      <c r="AE194" s="17">
        <v>3.2626571554153098E-2</v>
      </c>
      <c r="AF194" s="17">
        <v>3.5800653098132899E-2</v>
      </c>
      <c r="AG194" s="17">
        <v>2.4277068162028199E-2</v>
      </c>
      <c r="AH194" s="17">
        <v>8.2401686851281297E-2</v>
      </c>
      <c r="AI194" s="17">
        <v>6.4656557015392593E-2</v>
      </c>
      <c r="AJ194" s="17">
        <v>1.1409698123238201</v>
      </c>
      <c r="AK194" s="17">
        <v>7.0916030206387995E-2</v>
      </c>
      <c r="AL194" s="17">
        <v>2.07624329281209E-2</v>
      </c>
      <c r="AM194" s="17">
        <v>3.3491693513631099E-2</v>
      </c>
      <c r="AN194" s="17">
        <v>2.7409839852164102E-2</v>
      </c>
      <c r="AO194" s="17">
        <v>2.9125174107794399E-2</v>
      </c>
      <c r="AP194" s="17">
        <v>1.6303393910619E-2</v>
      </c>
      <c r="AQ194" s="17">
        <v>2.0609115136642701E-2</v>
      </c>
      <c r="AR194" s="17">
        <v>3.4470650863642101E-2</v>
      </c>
      <c r="AS194" s="17">
        <v>2.8628367471239501E-2</v>
      </c>
      <c r="AT194" s="17">
        <v>0</v>
      </c>
    </row>
    <row r="195" spans="1:46" x14ac:dyDescent="0.3">
      <c r="A195" s="14" t="s">
        <v>89</v>
      </c>
      <c r="B195" s="17">
        <v>6.2641319171210699E-2</v>
      </c>
      <c r="C195" s="17">
        <v>6.7828076561763803E-2</v>
      </c>
      <c r="D195" s="17">
        <v>4.4262463377459697E-2</v>
      </c>
      <c r="E195" s="17">
        <v>6.6633211231025502E-2</v>
      </c>
      <c r="F195" s="17">
        <v>6.9492287853511095E-2</v>
      </c>
      <c r="G195" s="17">
        <v>6.1952725722957798E-2</v>
      </c>
      <c r="H195" s="17">
        <v>4.9566782322829801E-2</v>
      </c>
      <c r="I195" s="17">
        <v>6.4211504810518294E-2</v>
      </c>
      <c r="J195" s="17">
        <v>6.3490088561311497E-2</v>
      </c>
      <c r="K195" s="17">
        <v>5.0572872560329003E-2</v>
      </c>
      <c r="L195" s="17">
        <v>6.7373795186098998E-2</v>
      </c>
      <c r="M195" s="17">
        <v>5.3386471557065301E-2</v>
      </c>
      <c r="N195" s="17">
        <v>6.3872949320916403E-2</v>
      </c>
      <c r="O195" s="17">
        <v>5.7365868397611701E-2</v>
      </c>
      <c r="P195" s="17">
        <v>6.09463080840364E-2</v>
      </c>
      <c r="Q195" s="17">
        <v>5.9694005930707797E-2</v>
      </c>
      <c r="R195" s="17">
        <v>6.4193720308030805E-2</v>
      </c>
      <c r="S195" s="17">
        <v>6.0162316289565997E-2</v>
      </c>
      <c r="T195" s="17">
        <v>4.38880579970349E-2</v>
      </c>
      <c r="U195" s="17">
        <v>5.21770380374229E-2</v>
      </c>
      <c r="V195" s="17">
        <v>5.40493256142867E-2</v>
      </c>
      <c r="W195" s="17">
        <v>5.4408736353754303E-2</v>
      </c>
      <c r="X195" s="17">
        <v>5.31916276450373E-2</v>
      </c>
      <c r="Y195" s="17">
        <v>5.5764831780012597E-2</v>
      </c>
      <c r="Z195" s="17">
        <v>7.4057053376453394E-2</v>
      </c>
      <c r="AA195" s="17">
        <v>8.4549027524371906E-2</v>
      </c>
      <c r="AB195" s="17">
        <v>6.5186377201697995E-2</v>
      </c>
      <c r="AC195" s="17">
        <v>9.5298757009107102E-2</v>
      </c>
      <c r="AD195" s="17">
        <v>9.1696354291877905E-2</v>
      </c>
      <c r="AE195" s="17">
        <v>7.2788386081409695E-2</v>
      </c>
      <c r="AF195" s="17">
        <v>3.1860299995865697E-2</v>
      </c>
      <c r="AG195" s="17">
        <v>7.5515605962049204E-2</v>
      </c>
      <c r="AH195" s="17">
        <v>4.2191557454797697E-2</v>
      </c>
      <c r="AI195" s="17">
        <v>3.9882078519075603E-2</v>
      </c>
      <c r="AJ195" s="17">
        <v>5.0188952304603698E-2</v>
      </c>
      <c r="AK195" s="17">
        <v>1.2639791181626401</v>
      </c>
      <c r="AL195" s="17">
        <v>0.13831288400869901</v>
      </c>
      <c r="AM195" s="17">
        <v>6.4248856615005998E-2</v>
      </c>
      <c r="AN195" s="17">
        <v>6.5389796410667306E-2</v>
      </c>
      <c r="AO195" s="17">
        <v>5.1695532397589603E-2</v>
      </c>
      <c r="AP195" s="17">
        <v>2.0360769695041199E-2</v>
      </c>
      <c r="AQ195" s="17">
        <v>3.6680085715497301E-2</v>
      </c>
      <c r="AR195" s="17">
        <v>5.0943152184978802E-2</v>
      </c>
      <c r="AS195" s="17">
        <v>6.4287522307455894E-2</v>
      </c>
      <c r="AT195" s="17">
        <v>0</v>
      </c>
    </row>
    <row r="196" spans="1:46" x14ac:dyDescent="0.3">
      <c r="A196" s="14" t="s">
        <v>90</v>
      </c>
      <c r="B196" s="17">
        <v>2.68269697999153E-2</v>
      </c>
      <c r="C196" s="17">
        <v>3.3298511914888598E-2</v>
      </c>
      <c r="D196" s="17">
        <v>3.1344726670316403E-2</v>
      </c>
      <c r="E196" s="17">
        <v>3.3365569883520303E-2</v>
      </c>
      <c r="F196" s="17">
        <v>2.7425850072703001E-2</v>
      </c>
      <c r="G196" s="17">
        <v>3.9569462716964703E-2</v>
      </c>
      <c r="H196" s="17">
        <v>3.2395249948242298E-2</v>
      </c>
      <c r="I196" s="17">
        <v>3.9765048936728699E-2</v>
      </c>
      <c r="J196" s="17">
        <v>4.3068974125835199E-2</v>
      </c>
      <c r="K196" s="17">
        <v>2.84557015102146E-2</v>
      </c>
      <c r="L196" s="17">
        <v>3.8697840765895601E-2</v>
      </c>
      <c r="M196" s="17">
        <v>2.79946760075254E-2</v>
      </c>
      <c r="N196" s="17">
        <v>4.4414981460640199E-2</v>
      </c>
      <c r="O196" s="17">
        <v>3.5898756715513999E-2</v>
      </c>
      <c r="P196" s="17">
        <v>4.1369631665785299E-2</v>
      </c>
      <c r="Q196" s="17">
        <v>3.67334148430494E-2</v>
      </c>
      <c r="R196" s="17">
        <v>4.8417780132104897E-2</v>
      </c>
      <c r="S196" s="17">
        <v>4.0601375839700603E-2</v>
      </c>
      <c r="T196" s="17">
        <v>3.2198542905061599E-2</v>
      </c>
      <c r="U196" s="17">
        <v>3.7490514567213799E-2</v>
      </c>
      <c r="V196" s="17">
        <v>4.3863772127436702E-2</v>
      </c>
      <c r="W196" s="17">
        <v>3.4912180326771201E-2</v>
      </c>
      <c r="X196" s="17">
        <v>3.9625199161563103E-2</v>
      </c>
      <c r="Y196" s="17">
        <v>5.4175426140931397E-2</v>
      </c>
      <c r="Z196" s="17">
        <v>4.4045890164374303E-2</v>
      </c>
      <c r="AA196" s="17">
        <v>6.58353144867872E-2</v>
      </c>
      <c r="AB196" s="17">
        <v>3.9632604127472999E-2</v>
      </c>
      <c r="AC196" s="17">
        <v>8.1902705835335196E-2</v>
      </c>
      <c r="AD196" s="17">
        <v>5.4287163865811797E-2</v>
      </c>
      <c r="AE196" s="17">
        <v>4.4494802880111199E-2</v>
      </c>
      <c r="AF196" s="17">
        <v>1.7993601827690001E-2</v>
      </c>
      <c r="AG196" s="17">
        <v>5.85409878907098E-2</v>
      </c>
      <c r="AH196" s="17">
        <v>4.7477064751154201E-2</v>
      </c>
      <c r="AI196" s="17">
        <v>4.04242236966008E-2</v>
      </c>
      <c r="AJ196" s="17">
        <v>5.0583676424266998E-2</v>
      </c>
      <c r="AK196" s="17">
        <v>3.7649364191149497E-2</v>
      </c>
      <c r="AL196" s="17">
        <v>1.02987238612038</v>
      </c>
      <c r="AM196" s="17">
        <v>4.9585577340850499E-2</v>
      </c>
      <c r="AN196" s="17">
        <v>4.5393013713479098E-2</v>
      </c>
      <c r="AO196" s="17">
        <v>3.2080658112566503E-2</v>
      </c>
      <c r="AP196" s="17">
        <v>2.9780204136984501E-2</v>
      </c>
      <c r="AQ196" s="17">
        <v>3.61022836936905E-2</v>
      </c>
      <c r="AR196" s="17">
        <v>7.6571978103626204E-2</v>
      </c>
      <c r="AS196" s="17">
        <v>6.52377267850347E-2</v>
      </c>
      <c r="AT196" s="17">
        <v>0</v>
      </c>
    </row>
    <row r="197" spans="1:46" x14ac:dyDescent="0.3">
      <c r="A197" s="14" t="s">
        <v>91</v>
      </c>
      <c r="B197" s="17">
        <v>5.3687174987059202E-2</v>
      </c>
      <c r="C197" s="17">
        <v>7.1011049075884902E-2</v>
      </c>
      <c r="D197" s="17">
        <v>9.1714704256256094E-2</v>
      </c>
      <c r="E197" s="17">
        <v>0.16859346791799801</v>
      </c>
      <c r="F197" s="17">
        <v>0.21093291231757799</v>
      </c>
      <c r="G197" s="17">
        <v>9.2072429789131896E-2</v>
      </c>
      <c r="H197" s="17">
        <v>6.4170697788763803E-2</v>
      </c>
      <c r="I197" s="17">
        <v>7.0985829593177494E-2</v>
      </c>
      <c r="J197" s="17">
        <v>7.6353981568923895E-2</v>
      </c>
      <c r="K197" s="17">
        <v>7.5510297593168296E-2</v>
      </c>
      <c r="L197" s="17">
        <v>8.5006004618545794E-2</v>
      </c>
      <c r="M197" s="17">
        <v>9.3230855816756997E-2</v>
      </c>
      <c r="N197" s="17">
        <v>8.5421563243198398E-2</v>
      </c>
      <c r="O197" s="17">
        <v>8.9735065163837793E-2</v>
      </c>
      <c r="P197" s="17">
        <v>7.9178710182615006E-2</v>
      </c>
      <c r="Q197" s="17">
        <v>7.2640754288049697E-2</v>
      </c>
      <c r="R197" s="17">
        <v>0.11424496632498</v>
      </c>
      <c r="S197" s="17">
        <v>9.2017976143943997E-2</v>
      </c>
      <c r="T197" s="17">
        <v>6.3817013558549296E-2</v>
      </c>
      <c r="U197" s="17">
        <v>0.111339355870896</v>
      </c>
      <c r="V197" s="17">
        <v>8.9012367293472505E-2</v>
      </c>
      <c r="W197" s="17">
        <v>7.9017676825349006E-2</v>
      </c>
      <c r="X197" s="17">
        <v>0.105508594719341</v>
      </c>
      <c r="Y197" s="17">
        <v>6.8429785644416999E-2</v>
      </c>
      <c r="Z197" s="17">
        <v>9.6994285852484596E-2</v>
      </c>
      <c r="AA197" s="17">
        <v>0.12472137763859199</v>
      </c>
      <c r="AB197" s="17">
        <v>5.8047053924977603E-2</v>
      </c>
      <c r="AC197" s="17">
        <v>0.25256416723203501</v>
      </c>
      <c r="AD197" s="17">
        <v>9.32854677014434E-2</v>
      </c>
      <c r="AE197" s="17">
        <v>7.1198228639944197E-2</v>
      </c>
      <c r="AF197" s="17">
        <v>3.2108404747714502E-2</v>
      </c>
      <c r="AG197" s="17">
        <v>7.0996562747366099E-2</v>
      </c>
      <c r="AH197" s="17">
        <v>7.6639859857835599E-2</v>
      </c>
      <c r="AI197" s="17">
        <v>9.2832394065850393E-2</v>
      </c>
      <c r="AJ197" s="17">
        <v>9.2917019802894907E-2</v>
      </c>
      <c r="AK197" s="17">
        <v>6.97697356173443E-2</v>
      </c>
      <c r="AL197" s="17">
        <v>6.7632536618108197E-2</v>
      </c>
      <c r="AM197" s="17">
        <v>1.1550483280173101</v>
      </c>
      <c r="AN197" s="17">
        <v>9.3487738994635597E-2</v>
      </c>
      <c r="AO197" s="17">
        <v>3.51878928921147E-2</v>
      </c>
      <c r="AP197" s="17">
        <v>2.7220060996345899E-2</v>
      </c>
      <c r="AQ197" s="17">
        <v>4.87450109946099E-2</v>
      </c>
      <c r="AR197" s="17">
        <v>9.0082971147297797E-2</v>
      </c>
      <c r="AS197" s="17">
        <v>5.9715491563406498E-2</v>
      </c>
      <c r="AT197" s="17">
        <v>0</v>
      </c>
    </row>
    <row r="198" spans="1:46" x14ac:dyDescent="0.3">
      <c r="A198" s="14" t="s">
        <v>92</v>
      </c>
      <c r="B198" s="17">
        <v>3.0527391235138101E-2</v>
      </c>
      <c r="C198" s="17">
        <v>4.1878416907746401E-2</v>
      </c>
      <c r="D198" s="17">
        <v>3.9795062862483598E-2</v>
      </c>
      <c r="E198" s="17">
        <v>4.2453225788306501E-2</v>
      </c>
      <c r="F198" s="17">
        <v>5.6465847436198799E-2</v>
      </c>
      <c r="G198" s="17">
        <v>5.2528495712678001E-2</v>
      </c>
      <c r="H198" s="17">
        <v>4.4260946137470697E-2</v>
      </c>
      <c r="I198" s="17">
        <v>4.8462880468439301E-2</v>
      </c>
      <c r="J198" s="17">
        <v>6.6623039399509601E-2</v>
      </c>
      <c r="K198" s="17">
        <v>3.5610944220968603E-2</v>
      </c>
      <c r="L198" s="17">
        <v>5.0553892959737098E-2</v>
      </c>
      <c r="M198" s="17">
        <v>7.1639922721986396E-2</v>
      </c>
      <c r="N198" s="17">
        <v>5.4126273831280901E-2</v>
      </c>
      <c r="O198" s="17">
        <v>5.7115211771566199E-2</v>
      </c>
      <c r="P198" s="17">
        <v>5.7921365759670301E-2</v>
      </c>
      <c r="Q198" s="17">
        <v>5.5230057708486699E-2</v>
      </c>
      <c r="R198" s="17">
        <v>9.9815939314743696E-2</v>
      </c>
      <c r="S198" s="17">
        <v>7.0764686927584197E-2</v>
      </c>
      <c r="T198" s="17">
        <v>5.0968602738457602E-2</v>
      </c>
      <c r="U198" s="17">
        <v>5.88169641608619E-2</v>
      </c>
      <c r="V198" s="17">
        <v>6.0906118465495103E-2</v>
      </c>
      <c r="W198" s="17">
        <v>5.2088248545577198E-2</v>
      </c>
      <c r="X198" s="17">
        <v>5.2205589488126501E-2</v>
      </c>
      <c r="Y198" s="17">
        <v>4.20912805951228E-2</v>
      </c>
      <c r="Z198" s="17">
        <v>5.2738805369112199E-2</v>
      </c>
      <c r="AA198" s="17">
        <v>6.6061938892432601E-2</v>
      </c>
      <c r="AB198" s="17">
        <v>4.9186336474706202E-2</v>
      </c>
      <c r="AC198" s="17">
        <v>8.0108563438833394E-2</v>
      </c>
      <c r="AD198" s="17">
        <v>0.14807137551126101</v>
      </c>
      <c r="AE198" s="17">
        <v>3.7867302164705498E-2</v>
      </c>
      <c r="AF198" s="17">
        <v>2.7375465374645701E-2</v>
      </c>
      <c r="AG198" s="17">
        <v>4.7243292144125502E-2</v>
      </c>
      <c r="AH198" s="17">
        <v>3.6361273204275402E-2</v>
      </c>
      <c r="AI198" s="17">
        <v>5.0118958685835699E-2</v>
      </c>
      <c r="AJ198" s="17">
        <v>5.3723236066684901E-2</v>
      </c>
      <c r="AK198" s="17">
        <v>6.3962041456109606E-2</v>
      </c>
      <c r="AL198" s="17">
        <v>3.68839476680645E-2</v>
      </c>
      <c r="AM198" s="17">
        <v>4.7456055916537301E-2</v>
      </c>
      <c r="AN198" s="17">
        <v>1.0619900308902299</v>
      </c>
      <c r="AO198" s="17">
        <v>2.3383757354482799E-2</v>
      </c>
      <c r="AP198" s="17">
        <v>2.0415268701241499E-2</v>
      </c>
      <c r="AQ198" s="17">
        <v>3.7591648738788001E-2</v>
      </c>
      <c r="AR198" s="17">
        <v>7.6040791431192994E-2</v>
      </c>
      <c r="AS198" s="17">
        <v>3.6617845120390402E-2</v>
      </c>
      <c r="AT198" s="17">
        <v>0</v>
      </c>
    </row>
    <row r="199" spans="1:46" x14ac:dyDescent="0.3">
      <c r="A199" s="14" t="s">
        <v>93</v>
      </c>
      <c r="B199" s="17">
        <v>1.07961295342402E-2</v>
      </c>
      <c r="C199" s="17">
        <v>1.83891738237036E-2</v>
      </c>
      <c r="D199" s="17">
        <v>1.22247458023967E-2</v>
      </c>
      <c r="E199" s="17">
        <v>1.40720468689234E-2</v>
      </c>
      <c r="F199" s="17">
        <v>1.9386688047617701E-2</v>
      </c>
      <c r="G199" s="17">
        <v>1.19764102401672E-2</v>
      </c>
      <c r="H199" s="17">
        <v>8.1031470463073692E-3</v>
      </c>
      <c r="I199" s="17">
        <v>9.3959742562917704E-3</v>
      </c>
      <c r="J199" s="17">
        <v>9.8826167934566705E-3</v>
      </c>
      <c r="K199" s="17">
        <v>9.5863285776079908E-3</v>
      </c>
      <c r="L199" s="17">
        <v>1.03415908408915E-2</v>
      </c>
      <c r="M199" s="17">
        <v>6.9949805088231403E-3</v>
      </c>
      <c r="N199" s="17">
        <v>9.72690284409998E-3</v>
      </c>
      <c r="O199" s="17">
        <v>9.7597268168213604E-3</v>
      </c>
      <c r="P199" s="17">
        <v>1.1125217923194699E-2</v>
      </c>
      <c r="Q199" s="17">
        <v>8.7843171646413906E-3</v>
      </c>
      <c r="R199" s="17">
        <v>1.2548882819306001E-2</v>
      </c>
      <c r="S199" s="17">
        <v>1.00856835787603E-2</v>
      </c>
      <c r="T199" s="17">
        <v>7.3003018625090602E-3</v>
      </c>
      <c r="U199" s="17">
        <v>9.5229469228526407E-3</v>
      </c>
      <c r="V199" s="17">
        <v>9.8330919373571697E-3</v>
      </c>
      <c r="W199" s="17">
        <v>8.2179698332664093E-3</v>
      </c>
      <c r="X199" s="17">
        <v>1.0677993737589901E-2</v>
      </c>
      <c r="Y199" s="17">
        <v>2.1787478176452602E-2</v>
      </c>
      <c r="Z199" s="17">
        <v>9.7064735061058796E-3</v>
      </c>
      <c r="AA199" s="17">
        <v>1.49136656487987E-2</v>
      </c>
      <c r="AB199" s="17">
        <v>1.90607698763085E-2</v>
      </c>
      <c r="AC199" s="17">
        <v>3.4327501612849101E-2</v>
      </c>
      <c r="AD199" s="17">
        <v>2.9890672903657298E-2</v>
      </c>
      <c r="AE199" s="17">
        <v>1.35092604429836E-2</v>
      </c>
      <c r="AF199" s="17">
        <v>5.8330254697332197E-3</v>
      </c>
      <c r="AG199" s="17">
        <v>1.1418145667234999E-2</v>
      </c>
      <c r="AH199" s="17">
        <v>8.9832015179807205E-3</v>
      </c>
      <c r="AI199" s="17">
        <v>2.5657329852612001E-2</v>
      </c>
      <c r="AJ199" s="17">
        <v>9.3589402742312693E-3</v>
      </c>
      <c r="AK199" s="17">
        <v>1.4472363635035001E-2</v>
      </c>
      <c r="AL199" s="17">
        <v>6.95215884944635E-3</v>
      </c>
      <c r="AM199" s="17">
        <v>1.0949126670870399E-2</v>
      </c>
      <c r="AN199" s="17">
        <v>1.01717306559139E-2</v>
      </c>
      <c r="AO199" s="17">
        <v>1.02373712793258</v>
      </c>
      <c r="AP199" s="17">
        <v>4.4642653296263204E-3</v>
      </c>
      <c r="AQ199" s="17">
        <v>5.4684976313580302E-3</v>
      </c>
      <c r="AR199" s="17">
        <v>1.9110180984694001E-2</v>
      </c>
      <c r="AS199" s="17">
        <v>1.66872098627973E-2</v>
      </c>
      <c r="AT199" s="17">
        <v>0</v>
      </c>
    </row>
    <row r="200" spans="1:46" x14ac:dyDescent="0.3">
      <c r="A200" s="14" t="s">
        <v>94</v>
      </c>
      <c r="B200" s="17">
        <v>2.4408743703598699E-3</v>
      </c>
      <c r="C200" s="17">
        <v>1.9185502738251899E-3</v>
      </c>
      <c r="D200" s="17">
        <v>2.52978873544118E-3</v>
      </c>
      <c r="E200" s="17">
        <v>2.4434989560098998E-3</v>
      </c>
      <c r="F200" s="17">
        <v>3.56762166641483E-3</v>
      </c>
      <c r="G200" s="17">
        <v>3.4364209891255002E-3</v>
      </c>
      <c r="H200" s="17">
        <v>2.79734653707174E-3</v>
      </c>
      <c r="I200" s="17">
        <v>3.4137155960993399E-3</v>
      </c>
      <c r="J200" s="17">
        <v>3.8379752592638899E-3</v>
      </c>
      <c r="K200" s="17">
        <v>2.5111459650345399E-3</v>
      </c>
      <c r="L200" s="17">
        <v>3.35178124650017E-3</v>
      </c>
      <c r="M200" s="17">
        <v>3.9335085159647697E-3</v>
      </c>
      <c r="N200" s="17">
        <v>4.4035054338693296E-3</v>
      </c>
      <c r="O200" s="17">
        <v>3.3605387818664398E-3</v>
      </c>
      <c r="P200" s="17">
        <v>3.6582086826709198E-3</v>
      </c>
      <c r="Q200" s="17">
        <v>3.07662873454074E-3</v>
      </c>
      <c r="R200" s="17">
        <v>4.4301237389587503E-3</v>
      </c>
      <c r="S200" s="17">
        <v>3.8796471286837299E-3</v>
      </c>
      <c r="T200" s="17">
        <v>3.3424798260235601E-3</v>
      </c>
      <c r="U200" s="17">
        <v>3.6249786945018098E-3</v>
      </c>
      <c r="V200" s="17">
        <v>5.1254934039276102E-3</v>
      </c>
      <c r="W200" s="17">
        <v>3.164566063364E-3</v>
      </c>
      <c r="X200" s="17">
        <v>2.7529740266419001E-3</v>
      </c>
      <c r="Y200" s="17">
        <v>3.4816945610185602E-3</v>
      </c>
      <c r="Z200" s="17">
        <v>3.2971697401659602E-3</v>
      </c>
      <c r="AA200" s="17">
        <v>5.3390558667726004E-3</v>
      </c>
      <c r="AB200" s="17">
        <v>2.7712790631169702E-3</v>
      </c>
      <c r="AC200" s="17">
        <v>3.8679222047914501E-3</v>
      </c>
      <c r="AD200" s="17">
        <v>6.0114492076432102E-3</v>
      </c>
      <c r="AE200" s="17">
        <v>3.7640863231573601E-3</v>
      </c>
      <c r="AF200" s="17">
        <v>3.5252131919509501E-3</v>
      </c>
      <c r="AG200" s="17">
        <v>3.3138699331980801E-3</v>
      </c>
      <c r="AH200" s="17">
        <v>2.9809149308494499E-3</v>
      </c>
      <c r="AI200" s="17">
        <v>4.0331821399276196E-3</v>
      </c>
      <c r="AJ200" s="17">
        <v>5.7958173683772896E-3</v>
      </c>
      <c r="AK200" s="17">
        <v>5.5512585966504503E-3</v>
      </c>
      <c r="AL200" s="17">
        <v>2.0678204045505E-3</v>
      </c>
      <c r="AM200" s="17">
        <v>4.9039510107874301E-3</v>
      </c>
      <c r="AN200" s="17">
        <v>4.2858695358677498E-3</v>
      </c>
      <c r="AO200" s="17">
        <v>3.8937440702969499E-3</v>
      </c>
      <c r="AP200" s="17">
        <v>1.03308280413883</v>
      </c>
      <c r="AQ200" s="17">
        <v>2.8376095439207401E-3</v>
      </c>
      <c r="AR200" s="17">
        <v>2.5856797897001E-3</v>
      </c>
      <c r="AS200" s="17">
        <v>6.4810410848778399E-3</v>
      </c>
      <c r="AT200" s="17">
        <v>0</v>
      </c>
    </row>
    <row r="201" spans="1:46" x14ac:dyDescent="0.3">
      <c r="A201" s="14" t="s">
        <v>95</v>
      </c>
      <c r="B201" s="17">
        <v>1.3923691053594001E-3</v>
      </c>
      <c r="C201" s="17">
        <v>3.67223073844186E-3</v>
      </c>
      <c r="D201" s="17">
        <v>1.05288415596854E-3</v>
      </c>
      <c r="E201" s="17">
        <v>1.80832619318748E-3</v>
      </c>
      <c r="F201" s="17">
        <v>1.8206060952746001E-3</v>
      </c>
      <c r="G201" s="17">
        <v>2.2583911945105498E-3</v>
      </c>
      <c r="H201" s="17">
        <v>2.6650210238313302E-3</v>
      </c>
      <c r="I201" s="17">
        <v>2.8211510969129699E-3</v>
      </c>
      <c r="J201" s="17">
        <v>2.44571280671446E-3</v>
      </c>
      <c r="K201" s="17">
        <v>1.5579008263420101E-3</v>
      </c>
      <c r="L201" s="17">
        <v>2.6737285831610401E-3</v>
      </c>
      <c r="M201" s="17">
        <v>7.6221995426731396E-3</v>
      </c>
      <c r="N201" s="17">
        <v>2.5532944162174401E-3</v>
      </c>
      <c r="O201" s="17">
        <v>2.4735203204030698E-3</v>
      </c>
      <c r="P201" s="17">
        <v>3.4583595559207199E-3</v>
      </c>
      <c r="Q201" s="17">
        <v>2.4108309591481599E-3</v>
      </c>
      <c r="R201" s="17">
        <v>2.8023385413965701E-3</v>
      </c>
      <c r="S201" s="17">
        <v>2.6024501914096898E-3</v>
      </c>
      <c r="T201" s="17">
        <v>2.1103246006577798E-3</v>
      </c>
      <c r="U201" s="17">
        <v>2.3127101617299401E-3</v>
      </c>
      <c r="V201" s="17">
        <v>2.8448239806480101E-3</v>
      </c>
      <c r="W201" s="17">
        <v>3.0230529095283099E-3</v>
      </c>
      <c r="X201" s="17">
        <v>2.0857896014136899E-3</v>
      </c>
      <c r="Y201" s="17">
        <v>4.1882373396826102E-3</v>
      </c>
      <c r="Z201" s="17">
        <v>2.0257396279682199E-3</v>
      </c>
      <c r="AA201" s="17">
        <v>3.1039880765866001E-3</v>
      </c>
      <c r="AB201" s="17">
        <v>6.2252217346708298E-3</v>
      </c>
      <c r="AC201" s="17">
        <v>3.5303408722245399E-3</v>
      </c>
      <c r="AD201" s="17">
        <v>2.3831351280441501E-3</v>
      </c>
      <c r="AE201" s="17">
        <v>1.8008328515469801E-3</v>
      </c>
      <c r="AF201" s="17">
        <v>3.0653498307314599E-3</v>
      </c>
      <c r="AG201" s="17">
        <v>3.9308308886916799E-3</v>
      </c>
      <c r="AH201" s="17">
        <v>1.3350441937255899E-3</v>
      </c>
      <c r="AI201" s="17">
        <v>1.0035241021791399E-3</v>
      </c>
      <c r="AJ201" s="17">
        <v>1.5428516351679101E-3</v>
      </c>
      <c r="AK201" s="17">
        <v>1.4603682894816399E-3</v>
      </c>
      <c r="AL201" s="17">
        <v>9.4559082817734198E-4</v>
      </c>
      <c r="AM201" s="17">
        <v>1.48399083351801E-3</v>
      </c>
      <c r="AN201" s="17">
        <v>2.94661360742118E-3</v>
      </c>
      <c r="AO201" s="17">
        <v>7.0243871911740603E-4</v>
      </c>
      <c r="AP201" s="17">
        <v>9.5114402985320705E-4</v>
      </c>
      <c r="AQ201" s="17">
        <v>1.0552374683933601</v>
      </c>
      <c r="AR201" s="17">
        <v>3.1473475335858001E-3</v>
      </c>
      <c r="AS201" s="17">
        <v>5.1465037708749604E-3</v>
      </c>
      <c r="AT201" s="17">
        <v>0</v>
      </c>
    </row>
    <row r="202" spans="1:46" x14ac:dyDescent="0.3">
      <c r="A202" s="14" t="s">
        <v>96</v>
      </c>
      <c r="B202" s="17">
        <v>1.392750319488E-3</v>
      </c>
      <c r="C202" s="17">
        <v>1.0949308637307599E-3</v>
      </c>
      <c r="D202" s="17">
        <v>8.9614796797430197E-4</v>
      </c>
      <c r="E202" s="17">
        <v>2.1859597247858601E-3</v>
      </c>
      <c r="F202" s="17">
        <v>1.7231205829537201E-3</v>
      </c>
      <c r="G202" s="17">
        <v>2.3737252358859299E-3</v>
      </c>
      <c r="H202" s="17">
        <v>1.98865457350889E-3</v>
      </c>
      <c r="I202" s="17">
        <v>2.0890176181904202E-3</v>
      </c>
      <c r="J202" s="17">
        <v>2.52048836103348E-3</v>
      </c>
      <c r="K202" s="17">
        <v>1.2318454329881699E-3</v>
      </c>
      <c r="L202" s="17">
        <v>1.94523955116339E-3</v>
      </c>
      <c r="M202" s="17">
        <v>2.3485866087881199E-3</v>
      </c>
      <c r="N202" s="17">
        <v>2.2281849480301299E-3</v>
      </c>
      <c r="O202" s="17">
        <v>1.90926603524329E-3</v>
      </c>
      <c r="P202" s="17">
        <v>2.0668284639182499E-3</v>
      </c>
      <c r="Q202" s="17">
        <v>2.0922127718477602E-3</v>
      </c>
      <c r="R202" s="17">
        <v>3.0637278408918701E-3</v>
      </c>
      <c r="S202" s="17">
        <v>2.3495685301084201E-3</v>
      </c>
      <c r="T202" s="17">
        <v>1.75592969848822E-3</v>
      </c>
      <c r="U202" s="17">
        <v>2.0549190675444298E-3</v>
      </c>
      <c r="V202" s="17">
        <v>2.1146079471013901E-3</v>
      </c>
      <c r="W202" s="17">
        <v>1.8945057753082899E-3</v>
      </c>
      <c r="X202" s="17">
        <v>1.50222323366343E-3</v>
      </c>
      <c r="Y202" s="17">
        <v>1.7723039544642199E-3</v>
      </c>
      <c r="Z202" s="17">
        <v>2.1520248328165798E-3</v>
      </c>
      <c r="AA202" s="17">
        <v>2.7134293654336298E-3</v>
      </c>
      <c r="AB202" s="17">
        <v>2.1816310411776401E-3</v>
      </c>
      <c r="AC202" s="17">
        <v>2.6105225723413602E-3</v>
      </c>
      <c r="AD202" s="17">
        <v>3.0599394967975699E-3</v>
      </c>
      <c r="AE202" s="17">
        <v>3.5602881682139701E-3</v>
      </c>
      <c r="AF202" s="17">
        <v>1.2910399761143999E-3</v>
      </c>
      <c r="AG202" s="17">
        <v>2.69223691838677E-3</v>
      </c>
      <c r="AH202" s="17">
        <v>1.06560811699532E-2</v>
      </c>
      <c r="AI202" s="17">
        <v>2.0324524852709499E-3</v>
      </c>
      <c r="AJ202" s="17">
        <v>2.1392193213700299E-3</v>
      </c>
      <c r="AK202" s="17">
        <v>1.5629191080129799E-3</v>
      </c>
      <c r="AL202" s="17">
        <v>1.2667336868065E-3</v>
      </c>
      <c r="AM202" s="17">
        <v>2.2772011016553898E-3</v>
      </c>
      <c r="AN202" s="17">
        <v>5.5135394260513899E-3</v>
      </c>
      <c r="AO202" s="17">
        <v>8.9907471801694097E-4</v>
      </c>
      <c r="AP202" s="17">
        <v>6.9425628068660295E-4</v>
      </c>
      <c r="AQ202" s="17">
        <v>1.6136368159080699E-3</v>
      </c>
      <c r="AR202" s="17">
        <v>1.0584686250762001</v>
      </c>
      <c r="AS202" s="17">
        <v>4.0804154563314097E-3</v>
      </c>
      <c r="AT202" s="17">
        <v>0</v>
      </c>
    </row>
    <row r="203" spans="1:46" x14ac:dyDescent="0.3">
      <c r="A203" s="14" t="s">
        <v>97</v>
      </c>
      <c r="B203" s="17">
        <v>6.4632470318015103E-3</v>
      </c>
      <c r="C203" s="17">
        <v>8.7471275434519193E-3</v>
      </c>
      <c r="D203" s="17">
        <v>3.86475407235781E-3</v>
      </c>
      <c r="E203" s="17">
        <v>5.7979746462951997E-3</v>
      </c>
      <c r="F203" s="17">
        <v>5.3693235533859998E-3</v>
      </c>
      <c r="G203" s="17">
        <v>7.7827313848611596E-3</v>
      </c>
      <c r="H203" s="17">
        <v>5.8956269722595604E-3</v>
      </c>
      <c r="I203" s="17">
        <v>6.4878270697675501E-3</v>
      </c>
      <c r="J203" s="17">
        <v>7.2917574395106703E-3</v>
      </c>
      <c r="K203" s="17">
        <v>4.7002446997152303E-3</v>
      </c>
      <c r="L203" s="17">
        <v>6.8792030427297897E-3</v>
      </c>
      <c r="M203" s="17">
        <v>8.5759218896944503E-3</v>
      </c>
      <c r="N203" s="17">
        <v>6.3733096488234496E-3</v>
      </c>
      <c r="O203" s="17">
        <v>6.1575064789865996E-3</v>
      </c>
      <c r="P203" s="17">
        <v>6.7259630531449396E-3</v>
      </c>
      <c r="Q203" s="17">
        <v>5.7293743050592996E-3</v>
      </c>
      <c r="R203" s="17">
        <v>8.6376766678595805E-3</v>
      </c>
      <c r="S203" s="17">
        <v>6.9882447310654896E-3</v>
      </c>
      <c r="T203" s="17">
        <v>5.2218429292556004E-3</v>
      </c>
      <c r="U203" s="17">
        <v>6.0320565559341703E-3</v>
      </c>
      <c r="V203" s="17">
        <v>6.3275294459671201E-3</v>
      </c>
      <c r="W203" s="17">
        <v>6.2074586277501304E-3</v>
      </c>
      <c r="X203" s="17">
        <v>7.1428780323791498E-3</v>
      </c>
      <c r="Y203" s="17">
        <v>1.04339286531133E-2</v>
      </c>
      <c r="Z203" s="17">
        <v>6.6897336426272602E-3</v>
      </c>
      <c r="AA203" s="17">
        <v>1.0274088016869701E-2</v>
      </c>
      <c r="AB203" s="17">
        <v>6.1769633768064E-3</v>
      </c>
      <c r="AC203" s="17">
        <v>9.7571049193805898E-3</v>
      </c>
      <c r="AD203" s="17">
        <v>1.06327305545758E-2</v>
      </c>
      <c r="AE203" s="17">
        <v>1.0400982757982499E-2</v>
      </c>
      <c r="AF203" s="17">
        <v>5.7993557125364898E-3</v>
      </c>
      <c r="AG203" s="17">
        <v>9.6705485668756499E-3</v>
      </c>
      <c r="AH203" s="17">
        <v>8.0151355391463903E-3</v>
      </c>
      <c r="AI203" s="17">
        <v>9.0653983692818001E-3</v>
      </c>
      <c r="AJ203" s="17">
        <v>1.36866090630642E-2</v>
      </c>
      <c r="AK203" s="17">
        <v>8.3045730152009195E-3</v>
      </c>
      <c r="AL203" s="17">
        <v>7.0434777402560598E-3</v>
      </c>
      <c r="AM203" s="17">
        <v>9.4720916558734807E-3</v>
      </c>
      <c r="AN203" s="17">
        <v>9.76382575174972E-3</v>
      </c>
      <c r="AO203" s="17">
        <v>5.09781148466732E-3</v>
      </c>
      <c r="AP203" s="17">
        <v>4.6272033162598203E-3</v>
      </c>
      <c r="AQ203" s="17">
        <v>6.6455929197184E-3</v>
      </c>
      <c r="AR203" s="17">
        <v>1.34939303579542E-2</v>
      </c>
      <c r="AS203" s="17">
        <v>1.00737733584774</v>
      </c>
      <c r="AT203" s="17">
        <v>0</v>
      </c>
    </row>
    <row r="204" spans="1:46" x14ac:dyDescent="0.3">
      <c r="A204" s="14" t="s">
        <v>98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1</v>
      </c>
    </row>
    <row r="205" spans="1:46" x14ac:dyDescent="0.3">
      <c r="A205" s="72" t="s">
        <v>217</v>
      </c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1:46" x14ac:dyDescent="0.3">
      <c r="A206" s="73"/>
      <c r="B206" s="37">
        <f>SUM(B160:B204)</f>
        <v>2.4186962674390724</v>
      </c>
      <c r="C206" s="37">
        <f t="shared" ref="C206:AT206" si="45">SUM(C160:C204)</f>
        <v>2.2693109353076282</v>
      </c>
      <c r="D206" s="37">
        <f t="shared" si="45"/>
        <v>1.9575968461264299</v>
      </c>
      <c r="E206" s="37">
        <f t="shared" si="45"/>
        <v>2.2161894158868449</v>
      </c>
      <c r="F206" s="37">
        <f>SUM(F160:F204)</f>
        <v>2.2793933067899927</v>
      </c>
      <c r="G206" s="37">
        <f t="shared" si="45"/>
        <v>2.7462819235535418</v>
      </c>
      <c r="H206" s="37">
        <f t="shared" si="45"/>
        <v>2.3385784370548079</v>
      </c>
      <c r="I206" s="37">
        <f t="shared" si="45"/>
        <v>2.6619985493341902</v>
      </c>
      <c r="J206" s="37">
        <f t="shared" si="45"/>
        <v>2.6788476657575822</v>
      </c>
      <c r="K206" s="37">
        <f t="shared" si="45"/>
        <v>2.4314235106165354</v>
      </c>
      <c r="L206" s="37">
        <f t="shared" si="45"/>
        <v>2.8002858318186399</v>
      </c>
      <c r="M206" s="37">
        <f t="shared" si="45"/>
        <v>2.1189506910121731</v>
      </c>
      <c r="N206" s="37">
        <f t="shared" si="45"/>
        <v>2.6874397934138732</v>
      </c>
      <c r="O206" s="37">
        <f t="shared" si="45"/>
        <v>2.4741035717955375</v>
      </c>
      <c r="P206" s="37">
        <f t="shared" si="45"/>
        <v>2.9824527391754887</v>
      </c>
      <c r="Q206" s="37">
        <f t="shared" si="45"/>
        <v>2.5898157300410363</v>
      </c>
      <c r="R206" s="37">
        <f t="shared" si="45"/>
        <v>3.6585874301540402</v>
      </c>
      <c r="S206" s="37">
        <f t="shared" si="45"/>
        <v>3.0188560950027612</v>
      </c>
      <c r="T206" s="37">
        <f t="shared" si="45"/>
        <v>2.3226660511461121</v>
      </c>
      <c r="U206" s="37">
        <f t="shared" si="45"/>
        <v>2.9819869572470883</v>
      </c>
      <c r="V206" s="37">
        <f t="shared" si="45"/>
        <v>2.5821865681181135</v>
      </c>
      <c r="W206" s="37">
        <f t="shared" si="45"/>
        <v>2.4520454343548441</v>
      </c>
      <c r="X206" s="37">
        <f t="shared" si="45"/>
        <v>2.1479455349400722</v>
      </c>
      <c r="Y206" s="37">
        <f t="shared" si="45"/>
        <v>2.0182858262963941</v>
      </c>
      <c r="Z206" s="37">
        <f t="shared" si="45"/>
        <v>2.3938946737160571</v>
      </c>
      <c r="AA206" s="37">
        <f t="shared" si="45"/>
        <v>2.1288444571246457</v>
      </c>
      <c r="AB206" s="37">
        <f t="shared" si="45"/>
        <v>2.1249641020642902</v>
      </c>
      <c r="AC206" s="37">
        <f t="shared" si="45"/>
        <v>2.7437544763502886</v>
      </c>
      <c r="AD206" s="37">
        <f t="shared" si="45"/>
        <v>2.5907742137874057</v>
      </c>
      <c r="AE206" s="37">
        <f t="shared" si="45"/>
        <v>1.910568408946548</v>
      </c>
      <c r="AF206" s="37">
        <f t="shared" si="45"/>
        <v>1.5480580692691519</v>
      </c>
      <c r="AG206" s="37">
        <f t="shared" si="45"/>
        <v>2.3291107206984099</v>
      </c>
      <c r="AH206" s="37">
        <f t="shared" si="45"/>
        <v>2.1027359865211679</v>
      </c>
      <c r="AI206" s="37">
        <f t="shared" si="45"/>
        <v>1.7476597448899187</v>
      </c>
      <c r="AJ206" s="37">
        <f t="shared" si="45"/>
        <v>1.7699288603043823</v>
      </c>
      <c r="AK206" s="37">
        <f t="shared" si="45"/>
        <v>1.8259091866808395</v>
      </c>
      <c r="AL206" s="37">
        <f t="shared" si="45"/>
        <v>1.6547978290017864</v>
      </c>
      <c r="AM206" s="37">
        <f t="shared" si="45"/>
        <v>1.7868141934430655</v>
      </c>
      <c r="AN206" s="37">
        <f t="shared" si="45"/>
        <v>1.8645139601504799</v>
      </c>
      <c r="AO206" s="37">
        <f t="shared" si="45"/>
        <v>1.5123013105629317</v>
      </c>
      <c r="AP206" s="37">
        <f t="shared" si="45"/>
        <v>1.4423413122142519</v>
      </c>
      <c r="AQ206" s="37">
        <f t="shared" si="45"/>
        <v>1.8634157834958172</v>
      </c>
      <c r="AR206" s="37">
        <f t="shared" si="45"/>
        <v>2.0312241757650278</v>
      </c>
      <c r="AS206" s="37">
        <f t="shared" si="45"/>
        <v>1.7839637403687856</v>
      </c>
      <c r="AT206" s="37">
        <f t="shared" si="45"/>
        <v>1</v>
      </c>
    </row>
  </sheetData>
  <mergeCells count="5">
    <mergeCell ref="B53:AT54"/>
    <mergeCell ref="B104:AT105"/>
    <mergeCell ref="B156:AT157"/>
    <mergeCell ref="B2:AT3"/>
    <mergeCell ref="A205:A20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7F42-6A4A-4C8B-80AA-E3C00B85A170}">
  <dimension ref="A1:AC75"/>
  <sheetViews>
    <sheetView zoomScale="85" zoomScaleNormal="85" workbookViewId="0">
      <selection activeCell="D71" sqref="D71"/>
    </sheetView>
  </sheetViews>
  <sheetFormatPr defaultRowHeight="14.4" x14ac:dyDescent="0.3"/>
  <cols>
    <col min="1" max="1" width="31.109375" bestFit="1" customWidth="1"/>
    <col min="2" max="2" width="11.6640625" bestFit="1" customWidth="1"/>
    <col min="3" max="4" width="13.5546875" bestFit="1" customWidth="1"/>
    <col min="5" max="5" width="18.44140625" bestFit="1" customWidth="1"/>
    <col min="6" max="6" width="14" bestFit="1" customWidth="1"/>
    <col min="7" max="7" width="18.33203125" bestFit="1" customWidth="1"/>
    <col min="10" max="10" width="10.5546875" bestFit="1" customWidth="1"/>
    <col min="11" max="11" width="11" bestFit="1" customWidth="1"/>
    <col min="12" max="13" width="13.88671875" bestFit="1" customWidth="1"/>
    <col min="14" max="14" width="18.44140625" bestFit="1" customWidth="1"/>
    <col min="15" max="15" width="11.44140625" bestFit="1" customWidth="1"/>
    <col min="25" max="25" width="31.5546875" bestFit="1" customWidth="1"/>
    <col min="27" max="27" width="10.109375" bestFit="1" customWidth="1"/>
    <col min="29" max="29" width="14.88671875" bestFit="1" customWidth="1"/>
  </cols>
  <sheetData>
    <row r="1" spans="1:29" x14ac:dyDescent="0.3">
      <c r="A1" s="75" t="s">
        <v>187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P1" s="75" t="s">
        <v>188</v>
      </c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</row>
    <row r="2" spans="1:29" x14ac:dyDescent="0.3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</row>
    <row r="4" spans="1:29" x14ac:dyDescent="0.3">
      <c r="A4" s="14" t="s">
        <v>114</v>
      </c>
      <c r="B4" s="11">
        <v>104073.70000000001</v>
      </c>
      <c r="C4" s="12">
        <v>0.31680498297922477</v>
      </c>
      <c r="Y4" s="19" t="s">
        <v>114</v>
      </c>
      <c r="Z4" s="11">
        <v>85867</v>
      </c>
      <c r="AA4" s="12">
        <v>0.32774627345918156</v>
      </c>
    </row>
    <row r="5" spans="1:29" x14ac:dyDescent="0.3">
      <c r="A5" s="14" t="s">
        <v>115</v>
      </c>
      <c r="B5" s="11">
        <v>40444.899999999994</v>
      </c>
      <c r="C5" s="12">
        <v>0.12311607885658378</v>
      </c>
      <c r="Y5" s="19" t="s">
        <v>115</v>
      </c>
      <c r="Z5" s="11">
        <v>28540</v>
      </c>
      <c r="AA5" s="12">
        <v>0.10893449922001515</v>
      </c>
    </row>
    <row r="6" spans="1:29" x14ac:dyDescent="0.3">
      <c r="A6" s="14" t="s">
        <v>116</v>
      </c>
      <c r="B6" s="11">
        <v>716.09999999997672</v>
      </c>
      <c r="C6" s="12">
        <v>2.1798403276852407E-3</v>
      </c>
      <c r="Y6" s="19" t="s">
        <v>116</v>
      </c>
      <c r="Z6" s="11">
        <v>3649.4000000000378</v>
      </c>
      <c r="AA6" s="12">
        <v>1.3929417009584001E-2</v>
      </c>
    </row>
    <row r="7" spans="1:29" x14ac:dyDescent="0.3">
      <c r="A7" s="14" t="s">
        <v>117</v>
      </c>
      <c r="B7" s="11">
        <v>183275.59999999992</v>
      </c>
      <c r="C7" s="12">
        <v>0.55789909783650593</v>
      </c>
      <c r="Y7" s="19" t="s">
        <v>117</v>
      </c>
      <c r="Z7" s="11">
        <v>143935.9000000002</v>
      </c>
      <c r="AA7" s="12">
        <v>0.54938981031121936</v>
      </c>
    </row>
    <row r="8" spans="1:29" ht="15" customHeight="1" x14ac:dyDescent="0.3">
      <c r="A8" s="14" t="s">
        <v>103</v>
      </c>
      <c r="B8" s="11">
        <v>328510.3</v>
      </c>
      <c r="C8" s="12">
        <v>1</v>
      </c>
      <c r="Y8" s="20" t="s">
        <v>103</v>
      </c>
      <c r="Z8" s="21">
        <v>261992.30000000022</v>
      </c>
      <c r="AA8" s="22">
        <v>1</v>
      </c>
    </row>
    <row r="9" spans="1:29" ht="15" customHeight="1" x14ac:dyDescent="0.3"/>
    <row r="19" spans="1:29" x14ac:dyDescent="0.3">
      <c r="A19" s="27" t="s">
        <v>106</v>
      </c>
      <c r="B19" s="27" t="s">
        <v>107</v>
      </c>
      <c r="C19" s="27" t="s">
        <v>108</v>
      </c>
      <c r="D19" s="27" t="s">
        <v>109</v>
      </c>
      <c r="E19" s="25" t="s">
        <v>189</v>
      </c>
      <c r="Y19" s="18" t="s">
        <v>106</v>
      </c>
      <c r="Z19" s="18" t="s">
        <v>107</v>
      </c>
      <c r="AA19" s="18" t="s">
        <v>108</v>
      </c>
      <c r="AB19" s="18" t="s">
        <v>109</v>
      </c>
      <c r="AC19" s="14" t="s">
        <v>190</v>
      </c>
    </row>
    <row r="20" spans="1:29" x14ac:dyDescent="0.3">
      <c r="A20" s="27" t="s">
        <v>107</v>
      </c>
      <c r="B20" s="26">
        <v>3020.6999999999994</v>
      </c>
      <c r="C20" s="26">
        <v>8931.0000000000036</v>
      </c>
      <c r="D20" s="26">
        <v>1370.3</v>
      </c>
      <c r="E20" s="26">
        <v>13322</v>
      </c>
      <c r="Y20" s="18" t="s">
        <v>107</v>
      </c>
      <c r="Z20" s="10">
        <v>2378.4000000000005</v>
      </c>
      <c r="AA20" s="10">
        <v>6836.3000000000029</v>
      </c>
      <c r="AB20" s="10">
        <v>1145.0000000000002</v>
      </c>
      <c r="AC20" s="10">
        <v>10359.700000000004</v>
      </c>
    </row>
    <row r="21" spans="1:29" x14ac:dyDescent="0.3">
      <c r="A21" s="27" t="s">
        <v>108</v>
      </c>
      <c r="B21" s="26">
        <v>3162.4999999999977</v>
      </c>
      <c r="C21" s="26">
        <v>68087.899999999892</v>
      </c>
      <c r="D21" s="26">
        <v>19205.499999999996</v>
      </c>
      <c r="E21" s="26">
        <v>90455.899999999892</v>
      </c>
      <c r="Y21" s="18" t="s">
        <v>108</v>
      </c>
      <c r="Z21" s="10">
        <v>2444.9999999999986</v>
      </c>
      <c r="AA21" s="10">
        <v>49410.900000000009</v>
      </c>
      <c r="AB21" s="10">
        <v>15275.900000000001</v>
      </c>
      <c r="AC21" s="10">
        <v>67131.800000000017</v>
      </c>
    </row>
    <row r="22" spans="1:29" x14ac:dyDescent="0.3">
      <c r="A22" s="27" t="s">
        <v>109</v>
      </c>
      <c r="B22" s="26">
        <v>2250.4999999999991</v>
      </c>
      <c r="C22" s="26">
        <v>31579.700000000048</v>
      </c>
      <c r="D22" s="26">
        <v>45667.500000000022</v>
      </c>
      <c r="E22" s="26">
        <v>79497.70000000007</v>
      </c>
      <c r="Y22" s="18" t="s">
        <v>109</v>
      </c>
      <c r="Z22" s="10">
        <v>1865.5999999999981</v>
      </c>
      <c r="AA22" s="10">
        <v>25007.299999999996</v>
      </c>
      <c r="AB22" s="10">
        <v>39571.499999999985</v>
      </c>
      <c r="AC22" s="10">
        <v>66444.39999999998</v>
      </c>
    </row>
    <row r="23" spans="1:29" x14ac:dyDescent="0.3">
      <c r="A23" s="25" t="s">
        <v>186</v>
      </c>
      <c r="B23" s="26">
        <v>8433.6999999999971</v>
      </c>
      <c r="C23" s="26">
        <v>108598.59999999995</v>
      </c>
      <c r="D23" s="26">
        <v>66243.300000000017</v>
      </c>
      <c r="E23" s="26">
        <v>183275.59999999998</v>
      </c>
      <c r="Y23" s="14" t="s">
        <v>186</v>
      </c>
      <c r="Z23" s="10">
        <v>6688.9999999999982</v>
      </c>
      <c r="AA23" s="10">
        <v>81254.5</v>
      </c>
      <c r="AB23" s="10">
        <v>55992.399999999987</v>
      </c>
      <c r="AC23" s="10">
        <v>143935.90000000002</v>
      </c>
    </row>
    <row r="33" spans="1:21" x14ac:dyDescent="0.3">
      <c r="A33" s="77" t="s">
        <v>193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</row>
    <row r="34" spans="1:21" x14ac:dyDescent="0.3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</row>
    <row r="36" spans="1:21" x14ac:dyDescent="0.3">
      <c r="A36" s="14" t="s">
        <v>191</v>
      </c>
      <c r="B36" s="14" t="s">
        <v>195</v>
      </c>
      <c r="C36" s="14" t="s">
        <v>196</v>
      </c>
      <c r="D36" s="14" t="s">
        <v>192</v>
      </c>
      <c r="E36" s="14" t="s">
        <v>197</v>
      </c>
      <c r="F36" s="14" t="s">
        <v>198</v>
      </c>
      <c r="G36" s="14" t="s">
        <v>199</v>
      </c>
    </row>
    <row r="37" spans="1:21" x14ac:dyDescent="0.3">
      <c r="A37" s="28" t="s">
        <v>107</v>
      </c>
      <c r="B37" s="30">
        <v>13322</v>
      </c>
      <c r="C37" s="4">
        <v>10359.700000000004</v>
      </c>
      <c r="D37" s="31">
        <f>(C37-B37)/B37</f>
        <v>-0.22236150728118867</v>
      </c>
      <c r="E37" s="31">
        <f>B37/$B$40</f>
        <v>7.268834476602451E-2</v>
      </c>
      <c r="F37" s="31">
        <f>C37/$C$40</f>
        <v>7.1974399715428905E-2</v>
      </c>
      <c r="G37" s="31">
        <f>F37-E37</f>
        <v>-7.1394505059560465E-4</v>
      </c>
    </row>
    <row r="38" spans="1:21" x14ac:dyDescent="0.3">
      <c r="A38" s="28" t="s">
        <v>108</v>
      </c>
      <c r="B38" s="30">
        <v>90455.899999999892</v>
      </c>
      <c r="C38" s="4">
        <v>67131.800000000017</v>
      </c>
      <c r="D38" s="31">
        <f t="shared" ref="D38:D39" si="0">(C38-B38)/B38</f>
        <v>-0.25785051058029274</v>
      </c>
      <c r="E38" s="31">
        <f t="shared" ref="E38:E39" si="1">B38/$B$40</f>
        <v>0.49355124195473865</v>
      </c>
      <c r="F38" s="31">
        <f t="shared" ref="F38:F39" si="2">C38/$C$40</f>
        <v>0.46640066863096702</v>
      </c>
      <c r="G38" s="31">
        <f t="shared" ref="G38:G39" si="3">F38-E38</f>
        <v>-2.7150573323771632E-2</v>
      </c>
    </row>
    <row r="39" spans="1:21" x14ac:dyDescent="0.3">
      <c r="A39" s="28" t="s">
        <v>109</v>
      </c>
      <c r="B39" s="30">
        <v>79497.70000000007</v>
      </c>
      <c r="C39" s="4">
        <v>66444.39999999998</v>
      </c>
      <c r="D39" s="31">
        <f t="shared" si="0"/>
        <v>-0.16419720318952724</v>
      </c>
      <c r="E39" s="31">
        <f t="shared" si="1"/>
        <v>0.43376041327923676</v>
      </c>
      <c r="F39" s="31">
        <f t="shared" si="2"/>
        <v>0.46162493165360391</v>
      </c>
      <c r="G39" s="31">
        <f t="shared" si="3"/>
        <v>2.7864518374367153E-2</v>
      </c>
    </row>
    <row r="40" spans="1:21" x14ac:dyDescent="0.3">
      <c r="A40" s="28" t="s">
        <v>111</v>
      </c>
      <c r="B40" s="4">
        <f>SUM(B37:B39)</f>
        <v>183275.59999999998</v>
      </c>
      <c r="C40" s="4">
        <f>SUM(C37:C39)</f>
        <v>143935.90000000002</v>
      </c>
      <c r="D40" s="4"/>
      <c r="E40" s="4"/>
      <c r="F40" s="4"/>
      <c r="G40" s="4"/>
    </row>
    <row r="41" spans="1:21" x14ac:dyDescent="0.3">
      <c r="F41" s="29"/>
    </row>
    <row r="43" spans="1:21" x14ac:dyDescent="0.3">
      <c r="B43" s="78" t="s">
        <v>194</v>
      </c>
      <c r="C43" s="76"/>
      <c r="D43" s="76"/>
      <c r="E43" s="76"/>
      <c r="F43" s="76"/>
      <c r="G43" s="76"/>
      <c r="H43" s="76"/>
      <c r="I43" s="76"/>
      <c r="J43" s="76"/>
      <c r="M43" s="78" t="s">
        <v>200</v>
      </c>
      <c r="N43" s="76"/>
      <c r="O43" s="76"/>
      <c r="P43" s="76"/>
      <c r="Q43" s="76"/>
      <c r="R43" s="76"/>
      <c r="S43" s="76"/>
      <c r="T43" s="76"/>
      <c r="U43" s="76"/>
    </row>
    <row r="44" spans="1:21" x14ac:dyDescent="0.3">
      <c r="B44" s="76"/>
      <c r="C44" s="76"/>
      <c r="D44" s="76"/>
      <c r="E44" s="76"/>
      <c r="F44" s="76"/>
      <c r="G44" s="76"/>
      <c r="H44" s="76"/>
      <c r="I44" s="76"/>
      <c r="J44" s="76"/>
      <c r="M44" s="76"/>
      <c r="N44" s="76"/>
      <c r="O44" s="76"/>
      <c r="P44" s="76"/>
      <c r="Q44" s="76"/>
      <c r="R44" s="76"/>
      <c r="S44" s="76"/>
      <c r="T44" s="76"/>
      <c r="U44" s="76"/>
    </row>
    <row r="66" spans="1:6" x14ac:dyDescent="0.3">
      <c r="A66" s="74" t="s">
        <v>221</v>
      </c>
      <c r="B66" s="74"/>
      <c r="C66" s="74"/>
      <c r="D66" s="74"/>
      <c r="E66" s="74"/>
      <c r="F66" s="74"/>
    </row>
    <row r="67" spans="1:6" x14ac:dyDescent="0.3">
      <c r="A67" s="74"/>
      <c r="B67" s="74"/>
      <c r="C67" s="74"/>
      <c r="D67" s="74"/>
      <c r="E67" s="74"/>
      <c r="F67" s="74"/>
    </row>
    <row r="70" spans="1:6" x14ac:dyDescent="0.3">
      <c r="A70" s="38" t="s">
        <v>203</v>
      </c>
      <c r="B70" s="38" t="s">
        <v>204</v>
      </c>
      <c r="C70" s="38" t="s">
        <v>218</v>
      </c>
      <c r="D70" s="38" t="s">
        <v>219</v>
      </c>
      <c r="E70" s="38" t="s">
        <v>220</v>
      </c>
      <c r="F70" s="38" t="s">
        <v>206</v>
      </c>
    </row>
    <row r="71" spans="1:6" x14ac:dyDescent="0.3">
      <c r="A71" s="38">
        <v>1</v>
      </c>
      <c r="B71" s="33" t="s">
        <v>16</v>
      </c>
      <c r="C71" s="33">
        <v>3.59</v>
      </c>
      <c r="D71" s="33">
        <v>3.6589999999999998</v>
      </c>
      <c r="E71" s="33">
        <f>D71-C71</f>
        <v>6.899999999999995E-2</v>
      </c>
      <c r="F71" s="33" t="s">
        <v>108</v>
      </c>
    </row>
    <row r="72" spans="1:6" x14ac:dyDescent="0.3">
      <c r="A72" s="38">
        <v>2</v>
      </c>
      <c r="B72" s="33" t="s">
        <v>19</v>
      </c>
      <c r="C72" s="33">
        <v>3.0830000000000002</v>
      </c>
      <c r="D72" s="33">
        <v>2.9820000000000002</v>
      </c>
      <c r="E72" s="33">
        <f t="shared" ref="E72:E75" si="4">D72-C72</f>
        <v>-0.10099999999999998</v>
      </c>
      <c r="F72" s="33" t="s">
        <v>108</v>
      </c>
    </row>
    <row r="73" spans="1:6" x14ac:dyDescent="0.3">
      <c r="A73" s="38">
        <v>3</v>
      </c>
      <c r="B73" s="33" t="s">
        <v>14</v>
      </c>
      <c r="C73" s="33">
        <v>2.8980000000000001</v>
      </c>
      <c r="D73" s="33">
        <v>2.9820000000000002</v>
      </c>
      <c r="E73" s="33">
        <f t="shared" si="4"/>
        <v>8.4000000000000075E-2</v>
      </c>
      <c r="F73" s="33" t="s">
        <v>108</v>
      </c>
    </row>
    <row r="74" spans="1:6" x14ac:dyDescent="0.3">
      <c r="A74" s="38">
        <v>4</v>
      </c>
      <c r="B74" s="33" t="s">
        <v>5</v>
      </c>
      <c r="C74" s="33">
        <v>2.855</v>
      </c>
      <c r="D74" s="33">
        <v>2.746</v>
      </c>
      <c r="E74" s="33">
        <f t="shared" si="4"/>
        <v>-0.10899999999999999</v>
      </c>
      <c r="F74" s="33" t="s">
        <v>108</v>
      </c>
    </row>
    <row r="75" spans="1:6" x14ac:dyDescent="0.3">
      <c r="A75" s="38">
        <v>5</v>
      </c>
      <c r="B75" s="33" t="s">
        <v>12</v>
      </c>
      <c r="C75" s="33">
        <v>2.806</v>
      </c>
      <c r="D75" s="33">
        <v>2.6880000000000002</v>
      </c>
      <c r="E75" s="33">
        <f t="shared" si="4"/>
        <v>-0.11799999999999988</v>
      </c>
      <c r="F75" s="33" t="s">
        <v>108</v>
      </c>
    </row>
  </sheetData>
  <mergeCells count="6">
    <mergeCell ref="A66:F67"/>
    <mergeCell ref="A1:L2"/>
    <mergeCell ref="P1:AC2"/>
    <mergeCell ref="A33:M34"/>
    <mergeCell ref="B43:J44"/>
    <mergeCell ref="M43:U44"/>
  </mergeCells>
  <conditionalFormatting sqref="B20:D22">
    <cfRule type="colorScale" priority="2">
      <colorScale>
        <cfvo type="min"/>
        <cfvo type="max"/>
        <color rgb="FFFFFFFF"/>
        <color rgb="FFBF8F00"/>
      </colorScale>
    </cfRule>
  </conditionalFormatting>
  <conditionalFormatting sqref="Z20:AB22">
    <cfRule type="colorScale" priority="1">
      <colorScale>
        <cfvo type="min"/>
        <cfvo type="max"/>
        <color theme="0"/>
        <color theme="7" tint="-0.249977111117893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1BA8-B7A8-4854-8698-A262AE2EA943}">
  <dimension ref="A1:G20"/>
  <sheetViews>
    <sheetView workbookViewId="0">
      <selection activeCell="F10" sqref="F10"/>
    </sheetView>
  </sheetViews>
  <sheetFormatPr defaultRowHeight="14.4" x14ac:dyDescent="0.3"/>
  <cols>
    <col min="1" max="2" width="14.109375" customWidth="1"/>
    <col min="3" max="4" width="20.88671875" customWidth="1"/>
    <col min="5" max="5" width="17" customWidth="1"/>
    <col min="6" max="6" width="48.33203125" bestFit="1" customWidth="1"/>
    <col min="7" max="7" width="29.109375" customWidth="1"/>
  </cols>
  <sheetData>
    <row r="1" spans="1:7" x14ac:dyDescent="0.3">
      <c r="A1" s="79" t="s">
        <v>210</v>
      </c>
      <c r="B1" s="80"/>
      <c r="C1" s="80"/>
      <c r="D1" s="80"/>
      <c r="E1" s="80"/>
      <c r="F1" s="80"/>
    </row>
    <row r="2" spans="1:7" x14ac:dyDescent="0.3">
      <c r="A2" s="80"/>
      <c r="B2" s="80"/>
      <c r="C2" s="80"/>
      <c r="D2" s="80"/>
      <c r="E2" s="80"/>
      <c r="F2" s="80"/>
    </row>
    <row r="4" spans="1:7" x14ac:dyDescent="0.3">
      <c r="A4" s="32" t="s">
        <v>203</v>
      </c>
      <c r="B4" s="32" t="s">
        <v>204</v>
      </c>
      <c r="C4" s="32" t="s">
        <v>205</v>
      </c>
      <c r="D4" s="32" t="s">
        <v>215</v>
      </c>
      <c r="E4" s="32" t="s">
        <v>206</v>
      </c>
      <c r="F4" s="32" t="s">
        <v>207</v>
      </c>
      <c r="G4" s="32" t="s">
        <v>208</v>
      </c>
    </row>
    <row r="5" spans="1:7" x14ac:dyDescent="0.3">
      <c r="A5" s="32">
        <v>1</v>
      </c>
      <c r="B5" s="33" t="s">
        <v>25</v>
      </c>
      <c r="C5" s="34">
        <v>32713.200000000001</v>
      </c>
      <c r="D5" s="34">
        <v>24955.9</v>
      </c>
      <c r="E5" s="33" t="s">
        <v>109</v>
      </c>
      <c r="F5" s="33" t="s">
        <v>211</v>
      </c>
      <c r="G5" s="31">
        <f>(D5-C5)/C5</f>
        <v>-0.23713057725933259</v>
      </c>
    </row>
    <row r="6" spans="1:7" x14ac:dyDescent="0.3">
      <c r="A6" s="32">
        <v>2</v>
      </c>
      <c r="B6" s="33" t="s">
        <v>19</v>
      </c>
      <c r="C6" s="34">
        <v>24001.9</v>
      </c>
      <c r="D6" s="34">
        <v>15269.199999999999</v>
      </c>
      <c r="E6" s="33" t="s">
        <v>108</v>
      </c>
      <c r="F6" s="33" t="s">
        <v>212</v>
      </c>
      <c r="G6" s="31">
        <f>(D6-C6)/C6</f>
        <v>-0.36383369649902725</v>
      </c>
    </row>
    <row r="7" spans="1:7" x14ac:dyDescent="0.3">
      <c r="A7" s="32">
        <v>3</v>
      </c>
      <c r="B7" s="33" t="s">
        <v>16</v>
      </c>
      <c r="C7" s="34">
        <v>22717</v>
      </c>
      <c r="D7" s="34">
        <v>18991.300000000003</v>
      </c>
      <c r="E7" s="33" t="s">
        <v>108</v>
      </c>
      <c r="F7" s="33" t="s">
        <v>213</v>
      </c>
      <c r="G7" s="31">
        <f>(D7-C7)/C7</f>
        <v>-0.16400493022846313</v>
      </c>
    </row>
    <row r="8" spans="1:7" x14ac:dyDescent="0.3">
      <c r="A8" s="32">
        <v>4</v>
      </c>
      <c r="B8" s="33" t="s">
        <v>24</v>
      </c>
      <c r="C8" s="34">
        <v>17397.5</v>
      </c>
      <c r="D8" s="34">
        <v>14319.000000000002</v>
      </c>
      <c r="E8" s="33" t="s">
        <v>108</v>
      </c>
      <c r="F8" s="33" t="s">
        <v>163</v>
      </c>
      <c r="G8" s="31">
        <f>(D8-C8)/C8</f>
        <v>-0.17695071130909604</v>
      </c>
    </row>
    <row r="9" spans="1:7" x14ac:dyDescent="0.3">
      <c r="A9" s="32">
        <v>5</v>
      </c>
      <c r="B9" s="33" t="s">
        <v>36</v>
      </c>
      <c r="C9" s="34">
        <v>17025.400000000001</v>
      </c>
      <c r="D9" s="34">
        <v>14997.8</v>
      </c>
      <c r="E9" s="33" t="s">
        <v>109</v>
      </c>
      <c r="F9" s="33" t="s">
        <v>214</v>
      </c>
      <c r="G9" s="31">
        <f>(D9-C9)/C9</f>
        <v>-0.11909264980558472</v>
      </c>
    </row>
    <row r="12" spans="1:7" x14ac:dyDescent="0.3">
      <c r="A12" s="79" t="s">
        <v>216</v>
      </c>
      <c r="B12" s="79"/>
      <c r="C12" s="79"/>
      <c r="D12" s="79"/>
      <c r="E12" s="79"/>
      <c r="F12" s="79"/>
    </row>
    <row r="13" spans="1:7" x14ac:dyDescent="0.3">
      <c r="A13" s="79"/>
      <c r="B13" s="79"/>
      <c r="C13" s="79"/>
      <c r="D13" s="79"/>
      <c r="E13" s="79"/>
      <c r="F13" s="79"/>
    </row>
    <row r="15" spans="1:7" x14ac:dyDescent="0.3">
      <c r="A15" s="32" t="s">
        <v>203</v>
      </c>
      <c r="B15" s="32" t="s">
        <v>204</v>
      </c>
      <c r="C15" s="32" t="s">
        <v>205</v>
      </c>
      <c r="D15" s="32" t="s">
        <v>215</v>
      </c>
      <c r="E15" s="32" t="s">
        <v>206</v>
      </c>
      <c r="F15" s="32" t="s">
        <v>207</v>
      </c>
      <c r="G15" s="32" t="s">
        <v>208</v>
      </c>
    </row>
    <row r="16" spans="1:7" x14ac:dyDescent="0.3">
      <c r="A16" s="32">
        <v>41</v>
      </c>
      <c r="B16" s="35" t="s">
        <v>27</v>
      </c>
      <c r="C16" s="35">
        <v>257.5</v>
      </c>
      <c r="D16" s="35">
        <v>175.10000000000002</v>
      </c>
      <c r="E16" s="35" t="s">
        <v>109</v>
      </c>
      <c r="F16" s="35" t="s">
        <v>166</v>
      </c>
      <c r="G16" s="31">
        <f>(D16-C16)/C16</f>
        <v>-0.3199999999999999</v>
      </c>
    </row>
    <row r="17" spans="1:7" x14ac:dyDescent="0.3">
      <c r="A17" s="32">
        <v>42</v>
      </c>
      <c r="B17" s="35" t="s">
        <v>2</v>
      </c>
      <c r="C17" s="35">
        <v>254.3</v>
      </c>
      <c r="D17" s="35">
        <v>106.39999999999918</v>
      </c>
      <c r="E17" s="35" t="s">
        <v>107</v>
      </c>
      <c r="F17" s="35" t="s">
        <v>130</v>
      </c>
      <c r="G17" s="31">
        <f>(D17-C17)/C17</f>
        <v>-0.58159653952025492</v>
      </c>
    </row>
    <row r="18" spans="1:7" x14ac:dyDescent="0.3">
      <c r="A18" s="32">
        <v>43</v>
      </c>
      <c r="B18" s="35" t="s">
        <v>4</v>
      </c>
      <c r="C18" s="35">
        <v>185.5</v>
      </c>
      <c r="D18" s="35">
        <v>256.59999999999997</v>
      </c>
      <c r="E18" s="35" t="s">
        <v>107</v>
      </c>
      <c r="F18" s="35" t="s">
        <v>137</v>
      </c>
      <c r="G18" s="31">
        <f>(D18-C18)/C18</f>
        <v>0.38328840970350386</v>
      </c>
    </row>
    <row r="19" spans="1:7" x14ac:dyDescent="0.3">
      <c r="A19" s="32">
        <v>44</v>
      </c>
      <c r="B19" s="35" t="s">
        <v>1</v>
      </c>
      <c r="C19" s="35">
        <v>60.8</v>
      </c>
      <c r="D19" s="35">
        <v>47.300000000000004</v>
      </c>
      <c r="E19" s="35" t="s">
        <v>107</v>
      </c>
      <c r="F19" s="35" t="s">
        <v>128</v>
      </c>
      <c r="G19" s="31">
        <f>(D19-C19)/C19</f>
        <v>-0.22203947368421043</v>
      </c>
    </row>
    <row r="20" spans="1:7" x14ac:dyDescent="0.3">
      <c r="A20" s="32">
        <v>45</v>
      </c>
      <c r="B20" s="35" t="s">
        <v>44</v>
      </c>
      <c r="C20" s="35">
        <v>18.100000000000001</v>
      </c>
      <c r="D20" s="35">
        <v>11.4</v>
      </c>
      <c r="E20" s="35" t="s">
        <v>109</v>
      </c>
      <c r="F20" s="35" t="s">
        <v>209</v>
      </c>
      <c r="G20" s="31">
        <f>(D20-C20)/C20</f>
        <v>-0.37016574585635365</v>
      </c>
    </row>
  </sheetData>
  <mergeCells count="2">
    <mergeCell ref="A1:F2"/>
    <mergeCell ref="A12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Code</vt:lpstr>
      <vt:lpstr>HUNGARY2008ttl</vt:lpstr>
      <vt:lpstr>LEONTIEF MATRIX 2008</vt:lpstr>
      <vt:lpstr>HUNGARY2009ttl</vt:lpstr>
      <vt:lpstr>Leontief matrix (2009)</vt:lpstr>
      <vt:lpstr> sectoral analysis &amp; comparison</vt:lpstr>
      <vt:lpstr>top 5 &amp; bottom 5 industries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Praveen Kumar</cp:lastModifiedBy>
  <dcterms:created xsi:type="dcterms:W3CDTF">2025-09-25T09:32:59Z</dcterms:created>
  <dcterms:modified xsi:type="dcterms:W3CDTF">2025-10-08T16:18:24Z</dcterms:modified>
</cp:coreProperties>
</file>